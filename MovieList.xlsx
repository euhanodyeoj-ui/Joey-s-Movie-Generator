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 Library" sheetId="1" r:id="rId5"/>
  </sheets>
  <definedNames/>
  <calcPr/>
</workbook>
</file>

<file path=xl/sharedStrings.xml><?xml version="1.0" encoding="utf-8"?>
<sst xmlns="http://schemas.openxmlformats.org/spreadsheetml/2006/main" count="4078" uniqueCount="2607">
  <si>
    <t>Original Entry</t>
  </si>
  <si>
    <t>Cover Image</t>
  </si>
  <si>
    <t>Title</t>
  </si>
  <si>
    <t>Release Date</t>
  </si>
  <si>
    <t>Year</t>
  </si>
  <si>
    <t>Format</t>
  </si>
  <si>
    <t>TMDB Search JSON</t>
  </si>
  <si>
    <t>TMDB ID</t>
  </si>
  <si>
    <t>TMDB Rating</t>
  </si>
  <si>
    <t>Genre</t>
  </si>
  <si>
    <t>Poster Path</t>
  </si>
  <si>
    <t>Cover URL</t>
  </si>
  <si>
    <t>Runtime (min)</t>
  </si>
  <si>
    <t>Overview</t>
  </si>
  <si>
    <t>Watched?</t>
  </si>
  <si>
    <t>My Rating (1-5)</t>
  </si>
  <si>
    <t>Notes</t>
  </si>
  <si>
    <t>TMDB Source URL</t>
  </si>
  <si>
    <t>Match Status</t>
  </si>
  <si>
    <t>10,000 B.C. (2008)</t>
  </si>
  <si>
    <t>10,000 B.C.</t>
  </si>
  <si>
    <t>Blu-ray</t>
  </si>
  <si>
    <t>Adventure, Action, Drama, Fantasy</t>
  </si>
  <si>
    <t>/9I7gV6wRbGnbfI3XOKjHeLMjYEo.jpg</t>
  </si>
  <si>
    <t>https://image.tmdb.org/t/p/w342/9I7gV6wRbGnbfI3XOKjHeLMjYEo.jpg</t>
  </si>
  <si>
    <t>A prehistoric epic that follows a young mammoth hunter's journey through uncharted territory to secure the future of his tribe.</t>
  </si>
  <si>
    <t>Unwatched</t>
  </si>
  <si>
    <t>https://www.themoviedb.org/movie/7840</t>
  </si>
  <si>
    <t>Matched</t>
  </si>
  <si>
    <t>2001: A Space Odyssey (1968)</t>
  </si>
  <si>
    <t>2001: A Space Odyssey</t>
  </si>
  <si>
    <t>4K Ultra HD</t>
  </si>
  <si>
    <t>Science Fiction, Mystery, Adventure</t>
  </si>
  <si>
    <t>/ve72VxNqjGM69Uky4WTo2bK6rfq.jpg</t>
  </si>
  <si>
    <t>https://image.tmdb.org/t/p/w342/ve72VxNqjGM69Uky4WTo2bK6rfq.jpg</t>
  </si>
  <si>
    <t>Humanity finds a mysterious object buried beneath the lunar surface and sets off to find its origins with the help of HAL 9000, the world's most advanced super computer.</t>
  </si>
  <si>
    <t>https://www.themoviedb.org/movie/62</t>
  </si>
  <si>
    <t>3 from Hell (2019)</t>
  </si>
  <si>
    <t>3 from Hell</t>
  </si>
  <si>
    <t>Horror, Thriller</t>
  </si>
  <si>
    <t>/iaURDnsqwTpFdg7RuizUp0nI2I4.jpg</t>
  </si>
  <si>
    <t>https://image.tmdb.org/t/p/w342/iaURDnsqwTpFdg7RuizUp0nI2I4.jpg</t>
  </si>
  <si>
    <t>After barely surviving a furious shootout with the police, Baby Firefly, Otis Driftwood and Captain Spaulding are behind bars. But pure evil cannot be contained. Teaming up with Otis’ half-brother Winslow, the demented Firefly clan escape to unleash a whole new wave of murder, madness and mayhem.</t>
  </si>
  <si>
    <t>https://www.themoviedb.org/movie/489064</t>
  </si>
  <si>
    <t>30 Days of Night (2007)</t>
  </si>
  <si>
    <t>30 Days of Night</t>
  </si>
  <si>
    <t>/7LwSrvFA0gz1KAlcrGcinoQPene.jpg</t>
  </si>
  <si>
    <t>https://image.tmdb.org/t/p/w342/7LwSrvFA0gz1KAlcrGcinoQPene.jpg</t>
  </si>
  <si>
    <t>This is the story of an isolated Alaskan town that is plunged into darkness for a month each year when the sun sinks below the horizon. As the last rays of light fade, the town is attacked by a bloodthirsty gang of vampires bent on an uninterrupted orgy of destruction. Only the small town's husband-and-wife Sheriff team stand between the survivors and certain destruction.</t>
  </si>
  <si>
    <t>https://www.themoviedb.org/movie/4513</t>
  </si>
  <si>
    <t>30 Minutes or Less (2011)</t>
  </si>
  <si>
    <t>30 Minutes or Less</t>
  </si>
  <si>
    <t>Action, Adventure, Comedy</t>
  </si>
  <si>
    <t>/12VgS5G6OG7ANKrSbhtUD2POHb8.jpg</t>
  </si>
  <si>
    <t>https://image.tmdb.org/t/p/w342/12VgS5G6OG7ANKrSbhtUD2POHb8.jpg</t>
  </si>
  <si>
    <t>Two fledgling criminals kidnap a pizza delivery guy, strap a bomb to his chest, and advise him that he has mere hours to rob a bank or else...</t>
  </si>
  <si>
    <t>Watched</t>
  </si>
  <si>
    <t>https://www.themoviedb.org/movie/62206</t>
  </si>
  <si>
    <t>The 40-Year-Old Virgin (2005)</t>
  </si>
  <si>
    <t>The 40-Year-Old Virgin</t>
  </si>
  <si>
    <t>Comedy, Romance</t>
  </si>
  <si>
    <t>/mVeoqL37gzhMXQVpONi9DGOQ3tZ.jpg</t>
  </si>
  <si>
    <t>https://image.tmdb.org/t/p/w342/mVeoqL37gzhMXQVpONi9DGOQ3tZ.jpg</t>
  </si>
  <si>
    <t>Andy Stitzer has a pleasant life with a nice apartment and a job stamping invoices at an electronics store. But at age 40, there's one thing Andy hasn't done, and it's really bothering his sex-obsessed male co-workers: Andy is still a virgin. Determined to help Andy get laid, the guys make it their mission to de-virginize him. But it all seems hopeless until Andy meets small business owner Trish, a single mom.</t>
  </si>
  <si>
    <t>https://www.themoviedb.org/movie/6957</t>
  </si>
  <si>
    <t>42 (2013)</t>
  </si>
  <si>
    <t>Drama</t>
  </si>
  <si>
    <t>/iZ7jVGQWj3eBUdqwAPUlKk0BaS2.jpg</t>
  </si>
  <si>
    <t>https://image.tmdb.org/t/p/w342/iZ7jVGQWj3eBUdqwAPUlKk0BaS2.jpg</t>
  </si>
  <si>
    <t>In 1947, Jackie Robinson becomes the first Black man to play in Major League Baseball facing unabashed racism from the public, the press and other players.</t>
  </si>
  <si>
    <t>https://www.themoviedb.org/movie/109410</t>
  </si>
  <si>
    <t>[REC] (2007)</t>
  </si>
  <si>
    <t>[REC]</t>
  </si>
  <si>
    <t>Horror, Mystery</t>
  </si>
  <si>
    <t>/hgyJR4sgMsee6xMFM3xYiG6cDCh.jpg</t>
  </si>
  <si>
    <t>https://image.tmdb.org/t/p/w342/hgyJR4sgMsee6xMFM3xYiG6cDCh.jpg</t>
  </si>
  <si>
    <t>A television reporter and cameraman follow emergency workers into a dark apartment building and are quickly locked inside with something terrifying.</t>
  </si>
  <si>
    <t>https://www.themoviedb.org/movie/8329</t>
  </si>
  <si>
    <t>[REC] 2 (2009)</t>
  </si>
  <si>
    <t>[REC] 2</t>
  </si>
  <si>
    <t>Thriller, Horror</t>
  </si>
  <si>
    <t>/4JG5WKfIGD6r7hdbqJVr2WKIxEe.jpg</t>
  </si>
  <si>
    <t>https://image.tmdb.org/t/p/w342/4JG5WKfIGD6r7hdbqJVr2WKIxEe.jpg</t>
  </si>
  <si>
    <t>The action continues from [REC], with the medical officer and a SWAT team outfitted with video cameras are sent into the sealed off apartment to control the situation.</t>
  </si>
  <si>
    <t>https://www.themoviedb.org/movie/10664</t>
  </si>
  <si>
    <t>[REC] 4: Apocalipsis (2014)</t>
  </si>
  <si>
    <t>[REC] 4: Apocalipsis</t>
  </si>
  <si>
    <t>/vbflx4rDj3YrRAAk4HSWsEgZVlK.jpg</t>
  </si>
  <si>
    <t>https://image.tmdb.org/t/p/w342/vbflx4rDj3YrRAAk4HSWsEgZVlK.jpg</t>
  </si>
  <si>
    <t>Ángela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</si>
  <si>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https://www.themoviedb.org/movie/185341</t>
  </si>
  <si>
    <t>[REC]³: Genesis (2012)</t>
  </si>
  <si>
    <t>[REC]³: Genesis</t>
  </si>
  <si>
    <t>Horror</t>
  </si>
  <si>
    <t>/tI1534q0Up7PBcLdXdFerLmIXn3.jpg</t>
  </si>
  <si>
    <t>https://image.tmdb.org/t/p/w342/tI1534q0Up7PBcLdXdFerLmIXn3.jpg</t>
  </si>
  <si>
    <t>A pair of newlyweds must fight to survive when their wedding reception descends into chaos and carnage when their guests become infected by a virus that turns them into hungry zombies.</t>
  </si>
  <si>
    <t>https://www.themoviedb.org/movie/80280</t>
  </si>
  <si>
    <t>The ABCs of Death (2012)</t>
  </si>
  <si>
    <t>The ABCs of Death</t>
  </si>
  <si>
    <t>/k3TcTGCgvvvhAiW9pkyWNz9CoNN.jpg</t>
  </si>
  <si>
    <t>https://image.tmdb.org/t/p/w342/k3TcTGCgvvvhAiW9pkyWNz9CoNN.jpg</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</si>
  <si>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</si>
  <si>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https://www.themoviedb.org/movie/87436</t>
  </si>
  <si>
    <t>Ace Ventura: Pet Detective (1994)</t>
  </si>
  <si>
    <t>Ace Ventura: Pet Detective</t>
  </si>
  <si>
    <t>Comedy, Crime, Mystery</t>
  </si>
  <si>
    <t>/pqiRuETmuSybfnVZ7qyeoXhQyN1.jpg</t>
  </si>
  <si>
    <t>https://image.tmdb.org/t/p/w342/pqiRuETmuSybfnVZ7qyeoXhQyN1.jpg</t>
  </si>
  <si>
    <t>He's Ace Ventura: Pet Detective. The Ace is on the case to find the Miami Dolphins' missing mascot and quarterback Dan Marino. He goes eyeball to eyeball with a man-eating shark, stakes out the Miami Dolphins and woos and wows the ladies. Whether he's undercover, under fire or underwater, he always gets his man… or beast!</t>
  </si>
  <si>
    <t>https://www.themoviedb.org/movie/3049</t>
  </si>
  <si>
    <t>Adventureland (2009)</t>
  </si>
  <si>
    <t>Adventureland</t>
  </si>
  <si>
    <t>Comedy, Drama, Romance</t>
  </si>
  <si>
    <t>/eeSJNAR1aWcgANq26KWIHm3cbyB.jpg</t>
  </si>
  <si>
    <t>https://image.tmdb.org/t/p/w342/eeSJNAR1aWcgANq26KWIHm3cbyB.jpg</t>
  </si>
  <si>
    <t>It's the summer of 1987, and recent college grad James Brennan can't wait to begin his long-anticipated dream trip to Europe. Unfortunately, James' plans come to a screeching halt when his parents announce that they are unable to subsidize his trip. Forced to take a job at the local amusement park, James prepares for the worst summer ever, until he finds love with a captivating co-worker named Em.</t>
  </si>
  <si>
    <t>https://www.themoviedb.org/movie/16614</t>
  </si>
  <si>
    <t>Alexander and the Terrible, Horrible, No Good, Very Bad Day (2014)</t>
  </si>
  <si>
    <t>Alexander and the Terrible, Horrible, No Good, Very Bad Day</t>
  </si>
  <si>
    <t>Family, Comedy</t>
  </si>
  <si>
    <t>/pxbAepXQjsGFDHaR3dPndFSxDU0.jpg</t>
  </si>
  <si>
    <t>https://image.tmdb.org/t/p/w342/pxbAepXQjsGFDHaR3dPndFSxDU0.jpg</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</si>
  <si>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</si>
  <si>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https://www.themoviedb.org/movie/218778</t>
  </si>
  <si>
    <t>All Hallows' Eve (2013)</t>
  </si>
  <si>
    <t>All Hallows' Eve</t>
  </si>
  <si>
    <t>/bSe8CBqK8HkbP6sqZWzcJfQV9Ci.jpg</t>
  </si>
  <si>
    <t>https://image.tmdb.org/t/p/w342/bSe8CBqK8HkbP6sqZWzcJfQV9Ci.jpg</t>
  </si>
  <si>
    <t>While watching two children on Halloween night, a babysitter finds an old VHS tape in the kids' trick or treat bag. The tape features three tales of terror, all linked together by a murderous clown.</t>
  </si>
  <si>
    <t>https://www.themoviedb.org/movie/231001</t>
  </si>
  <si>
    <t>American Sniper (2014)</t>
  </si>
  <si>
    <t>American Sniper</t>
  </si>
  <si>
    <t>War, Action</t>
  </si>
  <si>
    <t>/vJgtfUmZE5i4L12sOryAPuBa04K.jpg</t>
  </si>
  <si>
    <t>https://image.tmdb.org/t/p/w342/vJgtfUmZE5i4L12sOryAPuBa04K.jpg</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</si>
  <si>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</si>
  <si>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https://www.themoviedb.org/movie/190859</t>
  </si>
  <si>
    <t>Amusement (2008)</t>
  </si>
  <si>
    <t>Amusement</t>
  </si>
  <si>
    <t>/1XosEzjwTxL4NrVhn7ldunA3kfr.jpg</t>
  </si>
  <si>
    <t>https://image.tmdb.org/t/p/w342/1XosEzjwTxL4NrVhn7ldunA3kfr.jpg</t>
  </si>
  <si>
    <t>While being interrogated by a police psychiatrist, the near-catatonic Tabitha tries to explain why she and two of her childhood friends are being hunted by a serial killer. The truth that's dying to come out weaves together three tragic secrets from their past. Two of the girls' boyfriends become unwitting targets in their deadly game.</t>
  </si>
  <si>
    <t>https://www.themoviedb.org/movie/13803</t>
  </si>
  <si>
    <t>Anchorman 2: The Legend Continues (2013)</t>
  </si>
  <si>
    <t>Anchorman 2: The Legend Continues</t>
  </si>
  <si>
    <t>Comedy</t>
  </si>
  <si>
    <t>/BAdmxMdCqzjs6hx3KuEtnoWP8d.jpg</t>
  </si>
  <si>
    <t>https://image.tmdb.org/t/p/w342/BAdmxMdCqzjs6hx3KuEtnoWP8d.jpg</t>
  </si>
  <si>
    <t>With the 70s behind him, San Diego's top rated newsman, Ron Burgundy, returns to take New York's first 24-hour news channel by storm.</t>
  </si>
  <si>
    <t>https://www.themoviedb.org/movie/109443</t>
  </si>
  <si>
    <t>Annabelle (2014)</t>
  </si>
  <si>
    <t>Annabelle</t>
  </si>
  <si>
    <t>/yLsuU2P2SpDYFwtZQ7dtfVAf6TE.jpg</t>
  </si>
  <si>
    <t>https://image.tmdb.org/t/p/w342/yLsuU2P2SpDYFwtZQ7dtfVAf6TE.jpg</t>
  </si>
  <si>
    <t>A couple begins to experience terrifying supernatural occurrences involving a vintage doll shortly after their home is invaded by satanic cultists.</t>
  </si>
  <si>
    <t>https://www.themoviedb.org/movie/250546</t>
  </si>
  <si>
    <t>Annabelle Comes Home (2019)</t>
  </si>
  <si>
    <t>Annabelle Comes Home</t>
  </si>
  <si>
    <t>/qWsHMrbg9DsBY3bCMk9jyYCRVRs.jpg</t>
  </si>
  <si>
    <t>https://image.tmdb.org/t/p/w342/qWsHMrbg9DsBY3bCMk9jyYCRVRs.jpg</t>
  </si>
  <si>
    <t>Determined to keep Annabelle from wreaking more havoc, demonologists Ed and Lorraine Warren bring the possessed doll to the locked artifacts room in their home, placing her “safely” behind sacred glass and enlisting a priest’s holy blessing. But an unholy night of horror awaits as Annabelle awakens the evil spirits in the room, who all set their sights on a new target—the Warrens' ten-year-old daughter, Judy, and her friends.</t>
  </si>
  <si>
    <t>https://www.themoviedb.org/movie/521029</t>
  </si>
  <si>
    <t>Annabelle: Creation (2017)</t>
  </si>
  <si>
    <t>Annabelle: Creation</t>
  </si>
  <si>
    <t>/tb86j8jVCVsdZnzf8I6cIi65IeM.jpg</t>
  </si>
  <si>
    <t>https://image.tmdb.org/t/p/w342/tb86j8jVCVsdZnzf8I6cIi65IeM.jpg</t>
  </si>
  <si>
    <t>Several years after the tragic death of their little girl, a doll maker and his wife welcome a nun and several girls from a shuttered orphanage into their home, soon becoming the target of the doll maker's possessed creation—Annabelle.</t>
  </si>
  <si>
    <t>https://www.themoviedb.org/movie/396422</t>
  </si>
  <si>
    <t>Aquaman (2018)</t>
  </si>
  <si>
    <t>Aquaman</t>
  </si>
  <si>
    <t>Action, Adventure, Fantasy</t>
  </si>
  <si>
    <t>/ufl63EFcc5XpByEV2Ecdw6WJZAI.jpg</t>
  </si>
  <si>
    <t>https://image.tmdb.org/t/p/w342/ufl63EFcc5XpByEV2Ecdw6WJZAI.jpg</t>
  </si>
  <si>
    <t>Half-human, half-Atlantean Arthur Curry is taken on the journey of his lifetime to discover if he is worth of being a king.</t>
  </si>
  <si>
    <t>https://www.themoviedb.org/movie/297802</t>
  </si>
  <si>
    <t>As Above, So Below (2014)</t>
  </si>
  <si>
    <t>As Above, So Below</t>
  </si>
  <si>
    <t>/oJZSajKLJkoTOzSZQN2ZwRnPwHZ.jpg</t>
  </si>
  <si>
    <t>https://image.tmdb.org/t/p/w342/oJZSajKLJkoTOzSZQN2ZwRnPwHZ.jpg</t>
  </si>
  <si>
    <t>When a team of explorers venture into the catacombs that lie beneath the streets of Paris, they uncover the dark secret that lies within this city of the dead.</t>
  </si>
  <si>
    <t>https://www.themoviedb.org/movie/256274</t>
  </si>
  <si>
    <t>Audition (1999)</t>
  </si>
  <si>
    <t>Audition</t>
  </si>
  <si>
    <t>Horror, Drama</t>
  </si>
  <si>
    <t>/zwGaUMm0wAqi0wkO7LJDlwoA5LP.jpg</t>
  </si>
  <si>
    <t>https://image.tmdb.org/t/p/w342/zwGaUMm0wAqi0wkO7LJDlwoA5LP.jpg</t>
  </si>
  <si>
    <t>Seven years after the death of his wife, widower Shigeharu seeks advice on how to find a new wife from a colleague. Taking advantage of their position as a film company, they stage an audition. Interviewing a series of women, Shigeharu is enchanted by the quiet Asami. But soon things take a twisted turn as Asami isn’t what she seems to be.</t>
  </si>
  <si>
    <t>https://www.themoviedb.org/movie/11075</t>
  </si>
  <si>
    <t>The Autopsy of Jane Doe (2016)</t>
  </si>
  <si>
    <t>The Autopsy of Jane Doe</t>
  </si>
  <si>
    <t>/6K0wjP8kPCiPYy9PtXBGuypyt5I.jpg</t>
  </si>
  <si>
    <t>https://image.tmdb.org/t/p/w342/6K0wjP8kPCiPYy9PtXBGuypyt5I.jpg</t>
  </si>
  <si>
    <t>Father and son coroners receive a mysterious unidentified corpse with no apparent cause of death. As they attempt to examine the "Jane Doe," they discover increasingly bizarre clues that hold the key to her terrifying secrets.</t>
  </si>
  <si>
    <t>https://www.themoviedb.org/movie/397243</t>
  </si>
  <si>
    <t>Bad Grandpa (2013)</t>
  </si>
  <si>
    <t>Bad Grandpa</t>
  </si>
  <si>
    <t>/dDSMzBEaM0LYSy9Muo0zsCo77Vh.jpg</t>
  </si>
  <si>
    <t>https://image.tmdb.org/t/p/w342/dDSMzBEaM0LYSy9Muo0zsCo77Vh.jpg</t>
  </si>
  <si>
    <t>86-year-old Irving Zisman is on a journey across America with the most unlikely companion: his 8 year-old grandson, Billy.</t>
  </si>
  <si>
    <t>https://www.themoviedb.org/movie/208134</t>
  </si>
  <si>
    <t>Bad Santa (2003)</t>
  </si>
  <si>
    <t>Bad Santa</t>
  </si>
  <si>
    <t>Drama, Comedy, Crime</t>
  </si>
  <si>
    <t>/rfClLIyeHqpMofmrPY8DaLe4z9x.jpg</t>
  </si>
  <si>
    <t>https://image.tmdb.org/t/p/w342/rfClLIyeHqpMofmrPY8DaLe4z9x.jpg</t>
  </si>
  <si>
    <t>You'd better watch out - Willie T. Soke is coming to town, and he doesn't care if you've been naughty or nice. Willie's favorite holiday tradition is to fill his sacks with loot lifted from shopping malls across the country. But this year his plot gets derailed by a wisecracking store detective, a sexy bartender, and a kid who's convinced Willie is the real Santa Claus.</t>
  </si>
  <si>
    <t>https://www.themoviedb.org/movie/10147</t>
  </si>
  <si>
    <t>Batman Begins (2005)</t>
  </si>
  <si>
    <t>Batman Begins</t>
  </si>
  <si>
    <t>Drama, Crime, Action</t>
  </si>
  <si>
    <t>/sPX89Td70IDDjVr85jdSBb4rWGr.jpg</t>
  </si>
  <si>
    <t>https://image.tmdb.org/t/p/w342/sPX89Td70IDDjVr85jdSBb4rWGr.jpg</t>
  </si>
  <si>
    <t>Driven by tragedy, billionaire Bruce Wayne dedicates his life to uncovering and defeating the corruption that plagues his home, Gotham City.  Unable to work within the system, he instead creates a new identity, a symbol of fear for the criminal underworld - The Batman.</t>
  </si>
  <si>
    <t>https://www.themoviedb.org/movie/272</t>
  </si>
  <si>
    <t>Battle Royale (2000)</t>
  </si>
  <si>
    <t>Battle Royale</t>
  </si>
  <si>
    <t>Drama, Thriller, Action</t>
  </si>
  <si>
    <t>/aLGKAQKgzWpJ6egyWzzC11jXBRJ.jpg</t>
  </si>
  <si>
    <t>https://image.tmdb.org/t/p/w342/aLGKAQKgzWpJ6egyWzzC11jXBRJ.jpg</t>
  </si>
  <si>
    <t>In the future, the Japanese government captures a class of ninth-grade students and forces them to kill each other under the revolutionary "Battle Royale" act.</t>
  </si>
  <si>
    <t>In Progress</t>
  </si>
  <si>
    <t>https://www.themoviedb.org/movie/3176</t>
  </si>
  <si>
    <t>Behind the Mask: The Rise of Leslie Vernon (2006)</t>
  </si>
  <si>
    <t>Behind the Mask: The Rise of Leslie Vernon</t>
  </si>
  <si>
    <t>Comedy, Horror, Thriller</t>
  </si>
  <si>
    <t>/vie8a3z219Zsw81eAsM58B6VFEn.jpg</t>
  </si>
  <si>
    <t>https://image.tmdb.org/t/p/w342/vie8a3z219Zsw81eAsM58B6VFEn.jpg</t>
  </si>
  <si>
    <t>The next great psycho horror slasher has given a documentary crew exclusive access to his life as he plans his reign of terror over the sleepy town of Glen Echo, all the while deconstructing the conventions and archetypes of the horror genre for them.</t>
  </si>
  <si>
    <t>https://www.themoviedb.org/movie/10961</t>
  </si>
  <si>
    <t>The Big Lebowski (1998)</t>
  </si>
  <si>
    <t>The Big Lebowski</t>
  </si>
  <si>
    <t>Comedy, Crime</t>
  </si>
  <si>
    <t>/3bv6WAp6BSxxYvB5ozKFUYuRA8C.jpg</t>
  </si>
  <si>
    <t>https://image.tmdb.org/t/p/w342/3bv6WAp6BSxxYvB5ozKFUYuRA8C.jpg</t>
  </si>
  <si>
    <t>Jeffrey 'The Dude' Lebowski, a Los Angeles slacker who only wants to bowl and drink White Russians, is mistaken for another Jeffrey Lebowski, a wheelchair-bound millionaire, and finds himself dragged into a strange series of events involving nihilists, adult film producers, ferrets, errant toes, and large sums of money.</t>
  </si>
  <si>
    <t>https://www.themoviedb.org/movie/115</t>
  </si>
  <si>
    <t>The Black Phone (2021)</t>
  </si>
  <si>
    <t>The Black Phone</t>
  </si>
  <si>
    <t>/p9ZUzCyy9wRTDuuQexkQ78R2BgF.jpg</t>
  </si>
  <si>
    <t>https://image.tmdb.org/t/p/w342/p9ZUzCyy9wRTDuuQexkQ78R2BgF.jpg</t>
  </si>
  <si>
    <t>Finney Blake, a shy but clever 13-year-old boy, is abducted by a sadistic killer and trapped in a soundproof basement where screaming is of little use. When a disconnected phone on the wall begins to ring, Finney discovers that he can hear the voices of the killer’s previous victims. And they are dead set on making sure that what happened to them doesn’t happen to Finney.</t>
  </si>
  <si>
    <t>https://www.themoviedb.org/movie/756999</t>
  </si>
  <si>
    <t>Black Phone 2 (2025)</t>
  </si>
  <si>
    <t>Black Phone 2</t>
  </si>
  <si>
    <t>/gFddBLQ8wj9M9O82iPzgX5KVNHz.jpg</t>
  </si>
  <si>
    <t>https://image.tmdb.org/t/p/w342/gFddBLQ8wj9M9O82iPzgX5KVNHz.jpg</t>
  </si>
  <si>
    <t>Four years after defeating The Grabber, Finney Blake is struggling with life after captivity. When his younger sister Gwen begins receiving calls in her dreams from the Black Phone and seeing disturbing visions of three boys being stalked at a winter camp, the siblings become determined to solve the mystery and confront a killer who has grown more powerful in death and more significant to them than either could imagine.</t>
  </si>
  <si>
    <t>https://www.themoviedb.org/movie/1197137</t>
  </si>
  <si>
    <t>Black Sheep (2006)</t>
  </si>
  <si>
    <t>Black Sheep</t>
  </si>
  <si>
    <t>Horror, Comedy</t>
  </si>
  <si>
    <t>/b6Spp82Tg8rv4YUSHGWFqFbgp0q.jpg</t>
  </si>
  <si>
    <t>https://image.tmdb.org/t/p/w342/b6Spp82Tg8rv4YUSHGWFqFbgp0q.jpg</t>
  </si>
  <si>
    <t>After a childhood prank by his brother Angus causes Henry to develop a phobia of sheep, he must step up to the onslaught of a genetically-mutated man-eating flock with the help of his friend and a young environmentalist.</t>
  </si>
  <si>
    <t>https://www.themoviedb.org/movie/3603</t>
  </si>
  <si>
    <t>Blade Runner 2049 (2017)</t>
  </si>
  <si>
    <t>Blade Runner 2049</t>
  </si>
  <si>
    <t>Science Fiction, Drama</t>
  </si>
  <si>
    <t>/gajva2L0rPYkEWjzgFlBXCAVBE5.jpg</t>
  </si>
  <si>
    <t>https://image.tmdb.org/t/p/w342/gajva2L0rPYkEWjzgFlBXCAVBE5.jpg</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</si>
  <si>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</si>
  <si>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https://www.themoviedb.org/movie/335984</t>
  </si>
  <si>
    <t>Blood Fest (2018)</t>
  </si>
  <si>
    <t>Blood Fest</t>
  </si>
  <si>
    <t>Comedy, Horror</t>
  </si>
  <si>
    <t>/v7x4P33lZwstVgxlZGze18hBlD.jpg</t>
  </si>
  <si>
    <t>https://image.tmdb.org/t/p/w342/v7x4P33lZwstVgxlZGze18hBlD.jpg</t>
  </si>
  <si>
    <t>Fans flock to a festival celebrating the most iconic horror movies, only to discover that the charismatic showman behind the event has a diabolical agenda.</t>
  </si>
  <si>
    <t>https://www.themoviedb.org/movie/472226</t>
  </si>
  <si>
    <t>Blue Planet II (TV Series) (2017)</t>
  </si>
  <si>
    <t>Blue Planet II (TV Series)</t>
  </si>
  <si>
    <t>No TMDB match / check title-year</t>
  </si>
  <si>
    <t>Boogie Nights (1997)</t>
  </si>
  <si>
    <t>Boogie Nights</t>
  </si>
  <si>
    <t>Drama, Comedy</t>
  </si>
  <si>
    <t>/wnE24UPCPQsQnbBOu4zVE2qaDNm.jpg</t>
  </si>
  <si>
    <t>https://image.tmdb.org/t/p/w342/wnE24UPCPQsQnbBOu4zVE2qaDNm.jpg</t>
  </si>
  <si>
    <t>In 1977, an idealistic porn producer and his promising protege try to catch up with the end of an era before their never-ending party collides with cold, hard reality.</t>
  </si>
  <si>
    <t>https://www.themoviedb.org/movie/4995</t>
  </si>
  <si>
    <t>Borat: Cultural Learnings of America for Make Benefit Glorious Nation of Kazakhstan (2006)</t>
  </si>
  <si>
    <t>Borat: Cultural Learnings of America for Make Benefit Glorious Nation of Kazakhstan</t>
  </si>
  <si>
    <t>/kfkyALfD4G1mlBJI1lOt2QCra4i.jpg</t>
  </si>
  <si>
    <t>https://image.tmdb.org/t/p/w342/kfkyALfD4G1mlBJI1lOt2QCra4i.jpg</t>
  </si>
  <si>
    <t>Kazakh journalist Borat Sagdiyev travels to America to make a documentary. As he zigzags across the nation, Borat meets real people in real situations with hysterical consequences. His backwards behavior generates strong reactions around him exposing prejudices and hypocrisies in American culture.</t>
  </si>
  <si>
    <t>https://www.themoviedb.org/movie/496</t>
  </si>
  <si>
    <t>The Bourne Identity (2002)</t>
  </si>
  <si>
    <t>The Bourne Identity</t>
  </si>
  <si>
    <t>Action, Drama, Mystery, Thriller</t>
  </si>
  <si>
    <t>/aP8swke3gmowbkfZ6lmNidu0y9p.jpg</t>
  </si>
  <si>
    <t>https://image.tmdb.org/t/p/w342/aP8swke3gmowbkfZ6lmNidu0y9p.jpg</t>
  </si>
  <si>
    <t>Wounded to the brink of death and suffering from amnesia, Jason Bourne is rescued at sea by a fisherman. With nothing to go on but a Swiss bank account number, he starts to reconstruct his life, but finds that many people he encounters want him dead. However, Bourne realizes that he has the combat and mental skills of a world-class spy—but who does he work for?</t>
  </si>
  <si>
    <t>https://www.themoviedb.org/movie/2501</t>
  </si>
  <si>
    <t>Bride of Chucky (1998)</t>
  </si>
  <si>
    <t>Bride of Chucky</t>
  </si>
  <si>
    <t>/yaIPNOcC7ZRuwH3maNwP9qzIo5G.jpg</t>
  </si>
  <si>
    <t>https://image.tmdb.org/t/p/w342/yaIPNOcC7ZRuwH3maNwP9qzIo5G.jpg</t>
  </si>
  <si>
    <t>For ten years, the tortured soul of serial killer Charles Lee Ray has been imprisoned inside a child's doll. Chucky is reborn when his old flame, Tiffany, rescues his battered doll parts from a police impound. But Chucky wants his new playmate cut down to size, so he transforms his blushing bride into a stunning little terror. Chucky and Tiffany can't wait to start their own homicidal honeymoon. When this demonic duo hits the road and hooks up with a pair of unsuspecting newlyweds, they leave a trail of murder and mayhem behind them. Chucky's back!</t>
  </si>
  <si>
    <t>https://www.themoviedb.org/movie/11932</t>
  </si>
  <si>
    <t>Brüno (2009)</t>
  </si>
  <si>
    <t>Brüno</t>
  </si>
  <si>
    <t>/wcUc7TYtsb72dHVb51sYaGIvQsr.jpg</t>
  </si>
  <si>
    <t>https://image.tmdb.org/t/p/w342/wcUc7TYtsb72dHVb51sYaGIvQsr.jpg</t>
  </si>
  <si>
    <t>Flamboyantly gay Austrian television reporter Bruno stirs up trouble with unsuspecting guests and large crowds through brutally frank interviews and painfully hilarious public displays of homosexuality.</t>
  </si>
  <si>
    <t>https://www.themoviedb.org/movie/18480</t>
  </si>
  <si>
    <t>Bugonia (2025)</t>
  </si>
  <si>
    <t>Bugonia</t>
  </si>
  <si>
    <t>Science Fiction, Thriller, Comedy</t>
  </si>
  <si>
    <t>/oxgsAQDAAxA92mFGYCZllgWkH9J.jpg</t>
  </si>
  <si>
    <t>https://image.tmdb.org/t/p/w342/oxgsAQDAAxA92mFGYCZllgWkH9J.jpg</t>
  </si>
  <si>
    <t>Two conspiracy obsessed young men kidnap the high-powered CEO of a major company, convinced that she is an alien intent on destroying planet Earth.</t>
  </si>
  <si>
    <t>https://www.themoviedb.org/movie/701387</t>
  </si>
  <si>
    <t>Cabin Fever (2002)</t>
  </si>
  <si>
    <t>Cabin Fever</t>
  </si>
  <si>
    <t>/vaUkSL7PbeeKfdFKOh9TYR9M1ds.jpg</t>
  </si>
  <si>
    <t>https://image.tmdb.org/t/p/w342/vaUkSL7PbeeKfdFKOh9TYR9M1ds.jpg</t>
  </si>
  <si>
    <t>A group of five college graduates rent a cabin in the woods and begin to fall victim to a horrifying flesh-eating virus, which attracts the unwanted attention of the homicidal locals.</t>
  </si>
  <si>
    <t>https://www.themoviedb.org/movie/11547</t>
  </si>
  <si>
    <t>The Cabin in the Woods (2011)</t>
  </si>
  <si>
    <t>The Cabin in the Woods</t>
  </si>
  <si>
    <t>Horror, Mystery, Comedy</t>
  </si>
  <si>
    <t>/zZZe5wn0udlhMtdlDjN4NB72R6e.jpg</t>
  </si>
  <si>
    <t>https://image.tmdb.org/t/p/w342/zZZe5wn0udlhMtdlDjN4NB72R6e.jpg</t>
  </si>
  <si>
    <t>Five friends set out for a weekend at a remote cabin in the woods, expecting nothing more than fun and relaxation. As night falls, they discover that something far more unsettling is at work and that nothing about their getaway is what it seems.</t>
  </si>
  <si>
    <t>https://www.themoviedb.org/movie/22970</t>
  </si>
  <si>
    <t>The Campaign (2012)</t>
  </si>
  <si>
    <t>The Campaign</t>
  </si>
  <si>
    <t>/jMWjJ13sFTT07DwjNlqh8VY4sK6.jpg</t>
  </si>
  <si>
    <t>https://image.tmdb.org/t/p/w342/jMWjJ13sFTT07DwjNlqh8VY4sK6.jpg</t>
  </si>
  <si>
    <t>Two rival politicians compete to win an election to represent their small North Carolina congressional district in the United States House of Representatives.</t>
  </si>
  <si>
    <t>https://www.themoviedb.org/movie/77953</t>
  </si>
  <si>
    <t>Cannibal Holocaust (1980)</t>
  </si>
  <si>
    <t>Cannibal Holocaust</t>
  </si>
  <si>
    <t>/otxZzMh53TsN7yYFqSZ3rwH1yMd.jpg</t>
  </si>
  <si>
    <t>https://image.tmdb.org/t/p/w342/otxZzMh53TsN7yYFqSZ3rwH1yMd.jpg</t>
  </si>
  <si>
    <t>A New York University professor returns from a rescue mission to the Amazon rainforest with the footage shot by a lost team of documentarians who were making a film about the area's local cannibal tribes.</t>
  </si>
  <si>
    <t>https://www.themoviedb.org/movie/8689</t>
  </si>
  <si>
    <t>Caveat (2020)</t>
  </si>
  <si>
    <t>Caveat</t>
  </si>
  <si>
    <t>/nbug05AceVU8PMXIONDFxMRtq54.jpg</t>
  </si>
  <si>
    <t>https://image.tmdb.org/t/p/w342/nbug05AceVU8PMXIONDFxMRtq54.jpg</t>
  </si>
  <si>
    <t>A lone drifter suffering from partial memory loss accepts a job to look after a psychologically troubled woman in an abandoned house on an isolated island.</t>
  </si>
  <si>
    <t>https://www.themoviedb.org/movie/744746</t>
  </si>
  <si>
    <t>Child's Play (1988)</t>
  </si>
  <si>
    <t>Child's Play</t>
  </si>
  <si>
    <t>/wvpgvcWNkF2HLuTEMIM7K83MvZ.jpg</t>
  </si>
  <si>
    <t>https://image.tmdb.org/t/p/w342/wvpgvcWNkF2HLuTEMIM7K83MvZ.jpg</t>
  </si>
  <si>
    <t>After being shot in a toy store, a serial killer transfers his soul into a Good Guy doll. A mother then gifts it to her 6-year old son Andy, which unleashes terror upon the city.</t>
  </si>
  <si>
    <t>https://www.themoviedb.org/movie/10585</t>
  </si>
  <si>
    <t>Child's Play 2 (1990)</t>
  </si>
  <si>
    <t>Child's Play 2</t>
  </si>
  <si>
    <t>/2tPQbPQeHEYAGoXFSW61IWNmoce.jpg</t>
  </si>
  <si>
    <t>https://image.tmdb.org/t/p/w342/2tPQbPQeHEYAGoXFSW61IWNmoce.jpg</t>
  </si>
  <si>
    <t>Chucky is reconstructed by a toy factory to dispel the negative publicity surrounding the doll, and tracks young Andy Barclay to a foster home where the chase begins again.</t>
  </si>
  <si>
    <t>https://www.themoviedb.org/movie/11186</t>
  </si>
  <si>
    <t>Child's Play 3 (1991)</t>
  </si>
  <si>
    <t>Child's Play 3</t>
  </si>
  <si>
    <t>/6toMk9OCuDYEEf733Bzlq3yiw3z.jpg</t>
  </si>
  <si>
    <t>https://image.tmdb.org/t/p/w342/6toMk9OCuDYEEf733Bzlq3yiw3z.jpg</t>
  </si>
  <si>
    <t>Eight years after seemingly destroying the killer doll, teen Andy Barclay is placed in a military school, and the spirit of Chucky returns to renew his quest and seek vengeance after being recreated from a mass of melted plastic.</t>
  </si>
  <si>
    <t>https://www.themoviedb.org/movie/11187</t>
  </si>
  <si>
    <t>A Clockwork Orange (1971)</t>
  </si>
  <si>
    <t>A Clockwork Orange</t>
  </si>
  <si>
    <t>Science Fiction, Crime</t>
  </si>
  <si>
    <t>/4sHeTAp65WrSSuc05nRBKddhBxO.jpg</t>
  </si>
  <si>
    <t>https://image.tmdb.org/t/p/w342/4sHeTAp65WrSSuc05nRBKddhBxO.jpg</t>
  </si>
  <si>
    <t>In a near-future Britain, young Alexander DeLarge and his pals get their kicks beating and raping anyone they please. When not destroying the lives of others, Alex swoons to the music of Beethoven. The state, eager to crack down on juvenile crime, gives an incarcerated Alex the option to undergo an invasive procedure that'll rob him of all personal agency. In a time when conscience is a commodity, can Alex change his tune?</t>
  </si>
  <si>
    <t>https://www.themoviedb.org/movie/185</t>
  </si>
  <si>
    <t>Close Encounters of the Third Kind (1977)</t>
  </si>
  <si>
    <t>Close Encounters of the Third Kind</t>
  </si>
  <si>
    <t>/yaPx3cK9zGFX3SbcKwxWM1QIbUh.jpg</t>
  </si>
  <si>
    <t>https://image.tmdb.org/t/p/w342/yaPx3cK9zGFX3SbcKwxWM1QIbUh.jpg</t>
  </si>
  <si>
    <t>After an encounter with UFOs, an electricity linesman feels undeniably drawn to an isolated area in the wilderness where something spectacular is about to happen.</t>
  </si>
  <si>
    <t>https://www.themoviedb.org/movie/840</t>
  </si>
  <si>
    <t>The Coffee Table (2022)</t>
  </si>
  <si>
    <t>The Coffee Table</t>
  </si>
  <si>
    <t>Horror, Thriller, Drama, Comedy</t>
  </si>
  <si>
    <t>/r8S7cc676EfgfUDVQKPrqRlbRFz.jpg</t>
  </si>
  <si>
    <t>https://image.tmdb.org/t/p/w342/r8S7cc676EfgfUDVQKPrqRlbRFz.jpg</t>
  </si>
  <si>
    <t>Jesus and María are a couple going through a difficult time in their relationship. Nevertheless, they have just become parents. To shape their new life, they decide to buy a new coffee table. A decision that will change their existence.</t>
  </si>
  <si>
    <t>https://www.themoviedb.org/movie/1056380</t>
  </si>
  <si>
    <t>Coherence (2013)</t>
  </si>
  <si>
    <t>Coherence</t>
  </si>
  <si>
    <t>Thriller, Science Fiction</t>
  </si>
  <si>
    <t>/ezUtb9m5DeLwL2gxi4gktzNCvQv.jpg</t>
  </si>
  <si>
    <t>https://image.tmdb.org/t/p/w342/ezUtb9m5DeLwL2gxi4gktzNCvQv.jpg</t>
  </si>
  <si>
    <t>Four couples gather for dinner the night a mysterious and powerful comet passes overhead.</t>
  </si>
  <si>
    <t>https://www.themoviedb.org/movie/220289</t>
  </si>
  <si>
    <t>The Collection (2012)</t>
  </si>
  <si>
    <t>The Collection</t>
  </si>
  <si>
    <t>/qbhJiXi48fRQevHf56i2JmYqyJ7.jpg</t>
  </si>
  <si>
    <t>https://image.tmdb.org/t/p/w342/qbhJiXi48fRQevHf56i2JmYqyJ7.jpg</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</si>
  <si>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</si>
  <si>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https://www.themoviedb.org/movie/134597</t>
  </si>
  <si>
    <t>The Collector (2009)</t>
  </si>
  <si>
    <t>The Collector</t>
  </si>
  <si>
    <t>/e33HSokiAxhj8ptpAr2xAU4jnd8.jpg</t>
  </si>
  <si>
    <t>https://image.tmdb.org/t/p/w342/e33HSokiAxhj8ptpAr2xAU4jnd8.jpg</t>
  </si>
  <si>
    <t>Desperate to repay his debt to his ex-wife, an ex-con plots a heist at his new employer's country home, unaware that a second criminal has also targeted the property, and rigged it with a series of deadly traps.</t>
  </si>
  <si>
    <t>https://www.themoviedb.org/movie/21407</t>
  </si>
  <si>
    <t>Companion (2025)</t>
  </si>
  <si>
    <t>Companion</t>
  </si>
  <si>
    <t>Horror, Science Fiction, Thriller</t>
  </si>
  <si>
    <t>/oCoTgC3UyWGfyQ9thE10ulWR7bn.jpg</t>
  </si>
  <si>
    <t>https://image.tmdb.org/t/p/w342/oCoTgC3UyWGfyQ9thE10ulWR7bn.jpg</t>
  </si>
  <si>
    <t>During a weekend getaway at a secluded lakeside estate, a group of friends finds themselves entangled in a web of secrets, deception, and advanced technology. As tensions rise and loyalties are tested, they uncover unsettling truths about themselves and the world around them.</t>
  </si>
  <si>
    <t>https://www.themoviedb.org/movie/1084199</t>
  </si>
  <si>
    <t>Confession of Murder (2012)</t>
  </si>
  <si>
    <t>Confession of Murder</t>
  </si>
  <si>
    <t>Action, Thriller</t>
  </si>
  <si>
    <t>/aA2WdIhq7e3grXFg6FZemRvbAIM.jpg</t>
  </si>
  <si>
    <t>https://image.tmdb.org/t/p/w342/aA2WdIhq7e3grXFg6FZemRvbAIM.jpg</t>
  </si>
  <si>
    <t>A serial killer reappears 15 years after his murder spree with a book detailing his crimes. The resentful cop who failed to catch him before is assigned to protect him. The families of the victims plan revenge. And as the media circus spirals out of control, a masked man called "J" appears claiming to be the real killer.</t>
  </si>
  <si>
    <t>https://www.themoviedb.org/movie/140212</t>
  </si>
  <si>
    <t>The Conjuring (2013)</t>
  </si>
  <si>
    <t>The Conjuring</t>
  </si>
  <si>
    <t>/wVYREutTvI2tmxr6ujrHT704wGF.jpg</t>
  </si>
  <si>
    <t>https://image.tmdb.org/t/p/w342/wVYREutTvI2tmxr6ujrHT704wGF.jpg</t>
  </si>
  <si>
    <t>Paranormal investigators Ed and Lorraine Warren work to help a family terrorized by a dark presence in their farmhouse. Forced to confront a powerful entity, the Warrens find themselves caught in the most terrifying case of their lives.</t>
  </si>
  <si>
    <t>https://www.themoviedb.org/movie/138843</t>
  </si>
  <si>
    <t>The Conjuring 2 (2016)</t>
  </si>
  <si>
    <t>The Conjuring 2</t>
  </si>
  <si>
    <t>/zEqyD0SBt6HL7W9JQoWwtd5Do1T.jpg</t>
  </si>
  <si>
    <t>https://image.tmdb.org/t/p/w342/zEqyD0SBt6HL7W9JQoWwtd5Do1T.jpg</t>
  </si>
  <si>
    <t>Lorraine and Ed Warren travel to north London to help a single mother raising four children alone in a house plagued by malicious spirits.</t>
  </si>
  <si>
    <t>https://www.themoviedb.org/movie/259693</t>
  </si>
  <si>
    <t>The Conjuring: Last Rites (2025)</t>
  </si>
  <si>
    <t>The Conjuring: Last Rites</t>
  </si>
  <si>
    <t>/byWgphT74ClOVa8EOGzYDkl8DVL.jpg</t>
  </si>
  <si>
    <t>https://image.tmdb.org/t/p/w342/byWgphT74ClOVa8EOGzYDkl8DVL.jpg</t>
  </si>
  <si>
    <t>Paranormal investigators Ed and Lorraine Warren take on one last terrifying case involving mysterious entities they must confront.</t>
  </si>
  <si>
    <t>https://www.themoviedb.org/movie/1038392</t>
  </si>
  <si>
    <t>The Conjuring: The Devil Made Me Do It (2021)</t>
  </si>
  <si>
    <t>The Conjuring: The Devil Made Me Do It</t>
  </si>
  <si>
    <t>Horror, Mystery, Thriller</t>
  </si>
  <si>
    <t>/xbSuFiJbbBWCkyCCKIMfuDCA4yV.jpg</t>
  </si>
  <si>
    <t>https://image.tmdb.org/t/p/w342/xbSuFiJbbBWCkyCCKIMfuDCA4yV.jpg</t>
  </si>
  <si>
    <t>Paranormal investigators Ed and Lorraine Warren encounter what would become one of the most sensational cases from their files. The fight for the soul of a young boy takes them beyond anything they'd ever seen before, to mark the first time in U.S. history that a murder suspect would claim demonic possession as a defense.</t>
  </si>
  <si>
    <t>https://www.themoviedb.org/movie/423108</t>
  </si>
  <si>
    <t>Cop Out (2010)</t>
  </si>
  <si>
    <t>Cop Out</t>
  </si>
  <si>
    <t>Action, Comedy, Crime</t>
  </si>
  <si>
    <t>/qA31i7FPVDHezuoevx3497CvZd4.jpg</t>
  </si>
  <si>
    <t>https://image.tmdb.org/t/p/w342/qA31i7FPVDHezuoevx3497CvZd4.jpg</t>
  </si>
  <si>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</si>
  <si>
    <t>https://www.themoviedb.org/movie/23742</t>
  </si>
  <si>
    <t>Coraline (2009)</t>
  </si>
  <si>
    <t>Coraline</t>
  </si>
  <si>
    <t>Animation, Family, Fantasy</t>
  </si>
  <si>
    <t>/4jeFXQYytChdZYE9JYO7Un87IlW.jpg</t>
  </si>
  <si>
    <t>https://image.tmdb.org/t/p/w342/4jeFXQYytChdZYE9JYO7Un87IlW.jpg</t>
  </si>
  <si>
    <t>Wandering her rambling old house in her boring new town, 11-year-old Coraline discovers a hidden door to a strangely idealized version of her life. In order to stay in the fantasy, she must make a frighteningly real sacrifice.</t>
  </si>
  <si>
    <t>https://www.themoviedb.org/movie/14836</t>
  </si>
  <si>
    <t>The Crazies (2010)</t>
  </si>
  <si>
    <t>The Crazies</t>
  </si>
  <si>
    <t>Mystery, Horror, Action</t>
  </si>
  <si>
    <t>/ggtG9DZELyTtM2Y0DRJDOJa5iP8.jpg</t>
  </si>
  <si>
    <t>https://image.tmdb.org/t/p/w342/ggtG9DZELyTtM2Y0DRJDOJa5iP8.jpg</t>
  </si>
  <si>
    <t>Four friends find themselves trapped in their small hometown after they discover their friends and neighbors going quickly and horrifically insane.</t>
  </si>
  <si>
    <t>https://www.themoviedb.org/movie/29427</t>
  </si>
  <si>
    <t>Creep (2014)</t>
  </si>
  <si>
    <t>Creep</t>
  </si>
  <si>
    <t>/qn53D574tT0YRyLgirEFHQwGUXw.jpg</t>
  </si>
  <si>
    <t>https://image.tmdb.org/t/p/w342/qn53D574tT0YRyLgirEFHQwGUXw.jpg</t>
  </si>
  <si>
    <t>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</si>
  <si>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https://www.themoviedb.org/movie/250574</t>
  </si>
  <si>
    <t>Creepshow (TV Series) (2019-2023)</t>
  </si>
  <si>
    <t>Blu-ray (Season 1), Blu-ray (Season 2), Blu-ray (Season 3), Blu-ray (Season 4)</t>
  </si>
  <si>
    <t>Creepshow (1982)</t>
  </si>
  <si>
    <t>Creepshow</t>
  </si>
  <si>
    <t>/4SoyTCEpsgLjX6yAyMsx3AsAyRQ.jpg</t>
  </si>
  <si>
    <t>https://image.tmdb.org/t/p/w342/4SoyTCEpsgLjX6yAyMsx3AsAyRQ.jpg</t>
  </si>
  <si>
    <t>Five grisly tales from a 1950s-style comic, including a murdered father rising from beyond, a bizarre meteor, a vengeful husband, a mysterious crate's occupant, and a plague of cockroaches.</t>
  </si>
  <si>
    <t>https://www.themoviedb.org/movie/16281</t>
  </si>
  <si>
    <t>Creepshow 2 (1987)</t>
  </si>
  <si>
    <t>Creepshow 2</t>
  </si>
  <si>
    <t>/bbanIymLuTYmQGis9nlCkFlT1eg.jpg</t>
  </si>
  <si>
    <t>https://image.tmdb.org/t/p/w342/bbanIymLuTYmQGis9nlCkFlT1eg.jpg</t>
  </si>
  <si>
    <t>Three macabre tales from the latest issue of a boy's favorite comic book, dealing with a vengeful wooden Native American, a monstrous blob in a lake, and an undying hitchhiker.</t>
  </si>
  <si>
    <t>https://www.themoviedb.org/movie/16288</t>
  </si>
  <si>
    <t>Cult of Chucky (2017)</t>
  </si>
  <si>
    <t>Cult of Chucky</t>
  </si>
  <si>
    <t>/r5JUiMYfatwYeDkxkLWYUx5GIjY.jpg</t>
  </si>
  <si>
    <t>https://image.tmdb.org/t/p/w342/r5JUiMYfatwYeDkxkLWYUx5GIjY.jpg</t>
  </si>
  <si>
    <t>Confined to an asylum for the criminally insane for the past four years, Nica is wrongly convinced that she, not Chucky, murdered her entire family... until a string of grisly deaths occur after her psychiatrist introduces a new group therapy tool -- a "Good Guy" doll.</t>
  </si>
  <si>
    <t>https://www.themoviedb.org/movie/393345</t>
  </si>
  <si>
    <t>Cure (1997)</t>
  </si>
  <si>
    <t>Cure</t>
  </si>
  <si>
    <t>Crime, Thriller, Horror, Mystery</t>
  </si>
  <si>
    <t>/yTRrqIGusJuzG5Pe3iFQTnHg1Ps.jpg</t>
  </si>
  <si>
    <t>https://image.tmdb.org/t/p/w342/yTRrqIGusJuzG5Pe3iFQTnHg1Ps.jpg</t>
  </si>
  <si>
    <t>A frustrated detective deals with the case of several gruesome murders committed by people who have no recollection of what they've done.</t>
  </si>
  <si>
    <t>https://www.themoviedb.org/movie/36095</t>
  </si>
  <si>
    <t>Curse of Chucky (2013)</t>
  </si>
  <si>
    <t>Curse of Chucky</t>
  </si>
  <si>
    <t>/x9DzkDWp8O82Wzxk6otuD9bce9a.jpg</t>
  </si>
  <si>
    <t>https://image.tmdb.org/t/p/w342/x9DzkDWp8O82Wzxk6otuD9bce9a.jpg</t>
  </si>
  <si>
    <t>After her mother's mysterious death, Nica begins to suspect that the talking, red-haired doll her visiting niece has been playing with may be the key to the mounting bloodshed and chaos.</t>
  </si>
  <si>
    <t>https://www.themoviedb.org/movie/167032</t>
  </si>
  <si>
    <t>The Dark Knight (2008)</t>
  </si>
  <si>
    <t>The Dark Knight</t>
  </si>
  <si>
    <t>Action, Crime, Thriller</t>
  </si>
  <si>
    <t>/qJ2tW6WMUDux911r6m7haRef0WH.jpg</t>
  </si>
  <si>
    <t>https://image.tmdb.org/t/p/w342/qJ2tW6WMUDux911r6m7haRef0WH.jpg</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</si>
  <si>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</si>
  <si>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https://www.themoviedb.org/movie/155</t>
  </si>
  <si>
    <t>The Dark Knight Rises (2012)</t>
  </si>
  <si>
    <t>The Dark Knight Rises</t>
  </si>
  <si>
    <t>Action, Crime, Drama, Thriller</t>
  </si>
  <si>
    <t>/hr0L2aueqlP2BYUblTTjmtn0hw4.jpg</t>
  </si>
  <si>
    <t>https://image.tmdb.org/t/p/w342/hr0L2aueqlP2BYUblTTjmtn0hw4.jpg</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</si>
  <si>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</si>
  <si>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https://www.themoviedb.org/movie/49026</t>
  </si>
  <si>
    <t>Dawn of the Dead (2004)</t>
  </si>
  <si>
    <t>Dawn of the Dead</t>
  </si>
  <si>
    <t>Horror, Science Fiction</t>
  </si>
  <si>
    <t>/ttquyxStEEctzghtA2f4PUGprDr.jpg</t>
  </si>
  <si>
    <t>https://image.tmdb.org/t/p/w342/ttquyxStEEctzghtA2f4PUGprDr.jpg</t>
  </si>
  <si>
    <t>A group of survivors take refuge in a shopping mall after the world is taken over by aggressive, flesh-eating zombies.</t>
  </si>
  <si>
    <t>https://www.themoviedb.org/movie/924</t>
  </si>
  <si>
    <t>Dawn of the Planet of the Apes (2014)</t>
  </si>
  <si>
    <t>Dawn of the Planet of the Apes</t>
  </si>
  <si>
    <t>Science Fiction, Action, Drama, Thriller</t>
  </si>
  <si>
    <t>/mSmAc9G25fhOHH45SLEeagR0qi7.jpg</t>
  </si>
  <si>
    <t>https://image.tmdb.org/t/p/w342/mSmAc9G25fhOHH45SLEeagR0qi7.jpg</t>
  </si>
  <si>
    <t>A group of scientists in San Francisco struggle to stay alive in the aftermath of a plague that is wiping out humanity, while Caesar tries to maintain dominance over his community of intelligent apes.</t>
  </si>
  <si>
    <t>https://www.themoviedb.org/movie/119450</t>
  </si>
  <si>
    <t>The Day After Tomorrow (2004)</t>
  </si>
  <si>
    <t>The Day After Tomorrow</t>
  </si>
  <si>
    <t>Science Fiction, Thriller, Adventure</t>
  </si>
  <si>
    <t>/Wr4HeYQRvwVCxzOV5TmGE7UkXq.jpg</t>
  </si>
  <si>
    <t>https://image.tmdb.org/t/p/w342/Wr4HeYQRvwVCxzOV5TmGE7UkXq.jpg</t>
  </si>
  <si>
    <t>After paleoclimatologist Jack Hall is largely ignored by UN officials when presenting his environmental concerns about the beginning of a new Ice Age, his research proves true when a superstorm develops, setting off catastrophic natural disasters throughout the world. Trying to get to his son, Sam, who is trapped in New York City with his friend Laura and others, Jack and his crew must travel to get to Sam before it's too late.</t>
  </si>
  <si>
    <t>https://www.themoviedb.org/movie/435</t>
  </si>
  <si>
    <t>Dead Silence (2007)</t>
  </si>
  <si>
    <t>Dead Silence</t>
  </si>
  <si>
    <t>/rvcUVdATIHKZt7BSSttUkKbeBXN.jpg</t>
  </si>
  <si>
    <t>https://image.tmdb.org/t/p/w342/rvcUVdATIHKZt7BSSttUkKbeBXN.jpg</t>
  </si>
  <si>
    <t>Jamie returns to his hometown in search of answers to his wife's murder, which occurred after receiving a weird package containing a ventriloquist dummy named Billy, which may be linked to the legend of ventriloquist Mary Shaw. Destined to find out the truth, Jamie goes to the town of Raven's Fair, where Shaw used to perform and is buried. But Jamie is in for more than he expected.</t>
  </si>
  <si>
    <t>https://www.themoviedb.org/movie/14001</t>
  </si>
  <si>
    <t>The Descent (2005)</t>
  </si>
  <si>
    <t>The Descent</t>
  </si>
  <si>
    <t>Adventure, Horror</t>
  </si>
  <si>
    <t>/mxFPI4KYBk5ri9cPteIS8jiDFgj.jpg</t>
  </si>
  <si>
    <t>https://image.tmdb.org/t/p/w342/mxFPI4KYBk5ri9cPteIS8jiDFgj.jpg</t>
  </si>
  <si>
    <t>After a personal tragedy, Sarah joins her friends on a caving expedition in the Appalachian Mountains. But when a rockfall traps them deep underground, their adventure turns into a nightmare. As they search for a way out, the group discovers they are not alone—lurking in the darkness are savage, cave-dwelling creatures. With rising tension and dwindling trust, the women must fight to survive against both the predators and each other.</t>
  </si>
  <si>
    <t>https://www.themoviedb.org/movie/9392</t>
  </si>
  <si>
    <t>The Devil's Rejects (2005)</t>
  </si>
  <si>
    <t>The Devil's Rejects</t>
  </si>
  <si>
    <t>Drama, Horror, Crime</t>
  </si>
  <si>
    <t>/drZz4AuI7trq6BxlH9Xa4v4O0Pb.jpg</t>
  </si>
  <si>
    <t>https://image.tmdb.org/t/p/w342/drZz4AuI7trq6BxlH9Xa4v4O0Pb.jpg</t>
  </si>
  <si>
    <t>The murderous, backwoods Firefly family take to the road to escape the vengeful Sheriff Wydell, who is not afraid of being as ruthless as his target.</t>
  </si>
  <si>
    <t>https://www.themoviedb.org/movie/1696</t>
  </si>
  <si>
    <t>The Dictator (2012)</t>
  </si>
  <si>
    <t>The Dictator</t>
  </si>
  <si>
    <t>/n0W7kajF4GFMRk2c0wWwMQqTaDM.jpg</t>
  </si>
  <si>
    <t>https://image.tmdb.org/t/p/w342/n0W7kajF4GFMRk2c0wWwMQqTaDM.jpg</t>
  </si>
  <si>
    <t>The heroic story of a dictator who risks his life to ensure that democracy would never come to the country he so lovingly oppressed.</t>
  </si>
  <si>
    <t>https://www.themoviedb.org/movie/76493</t>
  </si>
  <si>
    <t>Disturbia (2007)</t>
  </si>
  <si>
    <t>Disturbia</t>
  </si>
  <si>
    <t>Thriller, Drama, Mystery</t>
  </si>
  <si>
    <t>/3f9KwSrieczuH9nRrwfOsoMoMNd.jpg</t>
  </si>
  <si>
    <t>https://image.tmdb.org/t/p/w342/3f9KwSrieczuH9nRrwfOsoMoMNd.jpg</t>
  </si>
  <si>
    <t>Kale has a life most teenagers would envy. He spends his days endlessly playing video games, surfing the net, eating junk food and watching cable. He has complete free reign of the house, and a beautiful young hottie named Ashley has just moved in next door. There’s only one problem—he’s not allowed to leave the house. Kale’s under court-ordered house arrest for three months, and if he takes one step beyond a 100-foot perimeter of the house, his next confinement will be in a real prison.</t>
  </si>
  <si>
    <t>https://www.themoviedb.org/movie/8271</t>
  </si>
  <si>
    <t>Doctor Sleep (2019)</t>
  </si>
  <si>
    <t>Doctor Sleep</t>
  </si>
  <si>
    <t>Horror, Fantasy</t>
  </si>
  <si>
    <t>/p69QzIBbN06aTYqRRiCOY1emNBh.jpg</t>
  </si>
  <si>
    <t>https://image.tmdb.org/t/p/w342/p69QzIBbN06aTYqRRiCOY1emNBh.jpg</t>
  </si>
  <si>
    <t>Still scarred by the trauma he endured as a child at the Overlook Hotel, Dan Torrance faces the ghosts of the past when he meets Abra, a courageous teen who desperately needs his help -- and who possesses a powerful extrasensory ability called the "shine".</t>
  </si>
  <si>
    <t>https://www.themoviedb.org/movie/501170</t>
  </si>
  <si>
    <t>Dogma (1999)</t>
  </si>
  <si>
    <t>Dogma</t>
  </si>
  <si>
    <t>Fantasy, Comedy, Adventure</t>
  </si>
  <si>
    <t>/oxhHl2YokTqcP44QK5tiTgjgLgk.jpg</t>
  </si>
  <si>
    <t>https://image.tmdb.org/t/p/w342/oxhHl2YokTqcP44QK5tiTgjgLgk.jpg</t>
  </si>
  <si>
    <t>An abortion clinic worker with a special heritage is called upon to save the existence of humanity from being negated by two renegade angels trying to exploit a loophole and reenter Heaven.</t>
  </si>
  <si>
    <t>https://www.themoviedb.org/movie/1832</t>
  </si>
  <si>
    <t>Dreamcatcher (2003)</t>
  </si>
  <si>
    <t>Dreamcatcher</t>
  </si>
  <si>
    <t>Drama, Horror, Science Fiction, Thriller</t>
  </si>
  <si>
    <t>/lLhvwLNU4pLgvaNREVFaQ4n3lCf.jpg</t>
  </si>
  <si>
    <t>https://image.tmdb.org/t/p/w342/lLhvwLNU4pLgvaNREVFaQ4n3lCf.jpg</t>
  </si>
  <si>
    <t>Four childhood friends reunite for a hunting trip in the Maine woods, bound by a psychic force born from a childhood friend's dreamcatcher. They find themselves caught in a grotesque alien invasion that twists memory, sanity and reality into something far more sinister.</t>
  </si>
  <si>
    <t>https://www.themoviedb.org/movie/6171</t>
  </si>
  <si>
    <t>Drillbit Taylor (2008)</t>
  </si>
  <si>
    <t>Drillbit Taylor</t>
  </si>
  <si>
    <t>/shqO696kFnM8Z4ODa3JglcjP97u.jpg</t>
  </si>
  <si>
    <t>https://image.tmdb.org/t/p/w342/shqO696kFnM8Z4ODa3JglcjP97u.jpg</t>
  </si>
  <si>
    <t>Dealing with a sociopathic school bully, three high school freshmen hire a low-budget bodyguard to protect them, not realizing he is just a homeless beggar and petty thief looking for some easy cash.</t>
  </si>
  <si>
    <t>https://www.themoviedb.org/movie/8457</t>
  </si>
  <si>
    <t>E.T.: The Extra-Terrestrial (1982)</t>
  </si>
  <si>
    <t>E.T.: The Extra-Terrestrial</t>
  </si>
  <si>
    <t>Adventure, Science Fiction, Family</t>
  </si>
  <si>
    <t>/an0nD6uq6byfxXCfk6lQBzdL2J1.jpg</t>
  </si>
  <si>
    <t>https://image.tmdb.org/t/p/w342/an0nD6uq6byfxXCfk6lQBzdL2J1.jpg</t>
  </si>
  <si>
    <t>An alien is left behind on Earth and saved by the 10-year-old Elliott who decides to keep him hidden in his home. While a task force hunts for the extra-terrestrial, Elliott, his brother, and his little sister Gertie form an emotional bond with their new friend, and try to help him find his way home.</t>
  </si>
  <si>
    <t>https://www.themoviedb.org/movie/601</t>
  </si>
  <si>
    <t>Ever After (1998)</t>
  </si>
  <si>
    <t>Ever After</t>
  </si>
  <si>
    <t>Drama, Romance, Comedy</t>
  </si>
  <si>
    <t>/9TspO5dThMBioF0DFrvy6YqrngH.jpg</t>
  </si>
  <si>
    <t>https://image.tmdb.org/t/p/w342/9TspO5dThMBioF0DFrvy6YqrngH.jpg</t>
  </si>
  <si>
    <t>Danielle, a vibrant young woman, was forced into servitude after the death of her father when she was a young girl. Danielle's stepmother, Rodmilla, is a heartless woman who forces Danielle to do the cooking and cleaning, while she tries to marry off the eldest of her two daughters to the prince. But Danielle's life takes a wonderful turn when, under the guise of a visiting royal, she meets the charming Prince Henry.</t>
  </si>
  <si>
    <t>https://www.themoviedb.org/movie/9454</t>
  </si>
  <si>
    <t>Evil Dead (2013)</t>
  </si>
  <si>
    <t>Evil Dead</t>
  </si>
  <si>
    <t>/1gDV0Lm9y8ufIKzyf0h0GBgb9Zj.jpg</t>
  </si>
  <si>
    <t>https://image.tmdb.org/t/p/w342/1gDV0Lm9y8ufIKzyf0h0GBgb9Zj.jpg</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</si>
  <si>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</si>
  <si>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https://www.themoviedb.org/movie/109428</t>
  </si>
  <si>
    <t>Evil Dead II: Dead by Dawn (1987)</t>
  </si>
  <si>
    <t>Evil Dead II: Dead by Dawn</t>
  </si>
  <si>
    <t>Horror, Comedy, Fantasy</t>
  </si>
  <si>
    <t>/4zqCKJVHUolGs6C5AZwAZqLWixW.jpg</t>
  </si>
  <si>
    <t>https://image.tmdb.org/t/p/w342/4zqCKJVHUolGs6C5AZwAZqLWixW.jpg</t>
  </si>
  <si>
    <t>Ash Williams and his girlfriend Linda find a log cabin in the woods with a voice recording from an archeologist who had recorded himself reciting ancient chants from "The Book of the Dead." As they play the recording an evil power is unleashed taking over Linda's body.</t>
  </si>
  <si>
    <t>https://www.themoviedb.org/movie/765</t>
  </si>
  <si>
    <t>Evil Dead Rise (2023)</t>
  </si>
  <si>
    <t>Evil Dead Rise</t>
  </si>
  <si>
    <t>/5ik4ATKmNtmJU6AYD0bLm56BCVM.jpg</t>
  </si>
  <si>
    <t>https://image.tmdb.org/t/p/w342/5ik4ATKmNtmJU6AYD0bLm56BCVM.jpg</t>
  </si>
  <si>
    <t>A reunion between two estranged sisters gets cut short by the rise of flesh-possessing demons, thrusting them into a primal battle for survival as they face the most nightmarish version of family imaginable.</t>
  </si>
  <si>
    <t>https://www.themoviedb.org/movie/713704</t>
  </si>
  <si>
    <t>Ex Machina (2015)</t>
  </si>
  <si>
    <t>Ex Machina</t>
  </si>
  <si>
    <t>Drama, Science Fiction</t>
  </si>
  <si>
    <t>/dmJW8IAKHKxFNiUnoDR7JfsK7Rp.jpg</t>
  </si>
  <si>
    <t>https://image.tmdb.org/t/p/w342/dmJW8IAKHKxFNiUnoDR7JfsK7Rp.jpg</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</si>
  <si>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</si>
  <si>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https://www.themoviedb.org/movie/264660</t>
  </si>
  <si>
    <t>The Exorcist (1973)</t>
  </si>
  <si>
    <t>The Exorcist</t>
  </si>
  <si>
    <t>/5x0CeVHJI8tcDx8tUUwYHQSNILq.jpg</t>
  </si>
  <si>
    <t>https://image.tmdb.org/t/p/w342/5x0CeVHJI8tcDx8tUUwYHQSNILq.jpg</t>
  </si>
  <si>
    <t>When a mysterious entity possesses a young girl, her mother seeks the help of two Catholic priests to save her life.</t>
  </si>
  <si>
    <t>https://www.themoviedb.org/movie/9552</t>
  </si>
  <si>
    <t>The Exorcist III (1990)</t>
  </si>
  <si>
    <t>The Exorcist III</t>
  </si>
  <si>
    <t>/rhSftgj3vwpIDSP8v67N8KEubmz.jpg</t>
  </si>
  <si>
    <t>https://image.tmdb.org/t/p/w342/rhSftgj3vwpIDSP8v67N8KEubmz.jpg</t>
  </si>
  <si>
    <t>On the fifteenth anniversary of the exorcism that claimed Father Damien Karras' life, Police Lieutenant Kinderman's world is once again shattered when a boy is found decapitated and savagely crucified.</t>
  </si>
  <si>
    <t>https://www.themoviedb.org/movie/11587</t>
  </si>
  <si>
    <t>The Expendables (2010)</t>
  </si>
  <si>
    <t>The Expendables</t>
  </si>
  <si>
    <t>Thriller, Adventure, Action</t>
  </si>
  <si>
    <t>/j09ZkH6R4JWVylBcDai1laCmGw7.jpg</t>
  </si>
  <si>
    <t>https://image.tmdb.org/t/p/w342/j09ZkH6R4JWVylBcDai1laCmGw7.jpg</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</si>
  <si>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</si>
  <si>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https://www.themoviedb.org/movie/27578</t>
  </si>
  <si>
    <t>The Expendables 2 (2012)</t>
  </si>
  <si>
    <t>The Expendables 2</t>
  </si>
  <si>
    <t>Action, Adventure, Thriller</t>
  </si>
  <si>
    <t>/74rTIGyGoIu5KSxDVMdr8H3MtMo.jpg</t>
  </si>
  <si>
    <t>https://image.tmdb.org/t/p/w342/74rTIGyGoIu5KSxDVMdr8H3MtMo.jpg</t>
  </si>
  <si>
    <t>Mr. Church reunites the Expendables for what should be an easy paycheck, but when one of their men is murdered on the job, their quest for revenge puts them deep in enemy territory and up against an unexpected threat.</t>
  </si>
  <si>
    <t>https://www.themoviedb.org/movie/76163</t>
  </si>
  <si>
    <t>Eyes Wide Shut (1999)</t>
  </si>
  <si>
    <t>Eyes Wide Shut</t>
  </si>
  <si>
    <t>Drama, Thriller, Mystery</t>
  </si>
  <si>
    <t>/knEIz1eNGl5MQDbrEAVWA7iRqF9.jpg</t>
  </si>
  <si>
    <t>https://image.tmdb.org/t/p/w342/knEIz1eNGl5MQDbrEAVWA7iRqF9.jpg</t>
  </si>
  <si>
    <t>After Dr. Bill Harford's wife, Alice, admits to having sexual fantasies about a man she met, Bill becomes obsessed with having a sexual encounter. He discovers an underground sexual group and attends one of their meetings -- and quickly discovers that he is in over his head.</t>
  </si>
  <si>
    <t>https://www.themoviedb.org/movie/345</t>
  </si>
  <si>
    <t>The First Purge (2018)</t>
  </si>
  <si>
    <t>The First Purge</t>
  </si>
  <si>
    <t>Action, Horror, Thriller</t>
  </si>
  <si>
    <t>/litjsBoiydO6JlO70uOX4N3WnNL.jpg</t>
  </si>
  <si>
    <t>https://image.tmdb.org/t/p/w342/litjsBoiydO6JlO70uOX4N3WnNL.jpg</t>
  </si>
  <si>
    <t>To push the crime rate below one percent for the rest of the year, the New Founding Fathers of America test a sociological theory that vents aggression for one night in one isolated community. But when the violence of oppressors meets the rage of the others, the contagion will explode from the trial-city borders and spread across the nation.</t>
  </si>
  <si>
    <t>https://www.themoviedb.org/movie/442249</t>
  </si>
  <si>
    <t>Freddy vs. Jason (2003)</t>
  </si>
  <si>
    <t>Freddy vs. Jason</t>
  </si>
  <si>
    <t>/f9ZASRUfl8Jlco7rgRx3ujPR0P7.jpg</t>
  </si>
  <si>
    <t>https://image.tmdb.org/t/p/w342/f9ZASRUfl8Jlco7rgRx3ujPR0P7.jpg</t>
  </si>
  <si>
    <t>Freddy Krueger and Jason Voorhees return to terrorize the teenagers of Elm Street. Only this time, they're out to get each other, too.</t>
  </si>
  <si>
    <t>https://www.themoviedb.org/movie/6466</t>
  </si>
  <si>
    <t>Freddy's Dead: The Final Nightmare (1991)</t>
  </si>
  <si>
    <t>Freddy's Dead: The Final Nightmare</t>
  </si>
  <si>
    <t>/e4qh58n2WaG4Gyh9VhjOUeN9Mhv.jpg</t>
  </si>
  <si>
    <t>https://image.tmdb.org/t/p/w342/e4qh58n2WaG4Gyh9VhjOUeN9Mhv.jpg</t>
  </si>
  <si>
    <t>Just when you thought it was safe to sleep, Freddy Krueger returns in this sixth installment of the Nightmare on Elm Street films, as psychologist Maggie Burroughs, tormented by recurring nightmares, meets a patient with the same horrific dreams. Their quest for answers leads to a certain house on Elm Street -- where the nightmares become reality.</t>
  </si>
  <si>
    <t>https://www.themoviedb.org/movie/11284</t>
  </si>
  <si>
    <t>Friday the 13th (1980)</t>
  </si>
  <si>
    <t>Friday the 13th</t>
  </si>
  <si>
    <t>/uGGpnWHOmWTARVN9wbC1nPxNgps.jpg</t>
  </si>
  <si>
    <t>https://image.tmdb.org/t/p/w342/uGGpnWHOmWTARVN9wbC1nPxNgps.jpg</t>
  </si>
  <si>
    <t>Camp counselors are stalked and murdered by an unknown assailant while trying to reopen a summer camp that was the site of a child's drowning.</t>
  </si>
  <si>
    <t>https://www.themoviedb.org/movie/4488</t>
  </si>
  <si>
    <t>Friday the 13th (2009)</t>
  </si>
  <si>
    <t>/88wlJ4teYlck4hJ2bnlxBrAVh0m.jpg</t>
  </si>
  <si>
    <t>https://image.tmdb.org/t/p/w342/88wlJ4teYlck4hJ2bnlxBrAVh0m.jpg</t>
  </si>
  <si>
    <t>A group of young adults visit a boarded up campsite named Crystal Lake where they soon encounter the mysterious Jason Voorhees and his deadly intentions.</t>
  </si>
  <si>
    <t>https://www.themoviedb.org/movie/13207</t>
  </si>
  <si>
    <t>Friday the 13th Part III (1982)</t>
  </si>
  <si>
    <t>Friday the 13th Part III</t>
  </si>
  <si>
    <t>/9kukTSlgFgXnQGdpcHvHcpTDiUc.jpg</t>
  </si>
  <si>
    <t>https://image.tmdb.org/t/p/w342/9kukTSlgFgXnQGdpcHvHcpTDiUc.jpg</t>
  </si>
  <si>
    <t>An idyllic summer turns into a nightmare of unspeakable terror for yet another group of naïve friends. Ignoring Camp Crystal Lake's bloody legacy, one by one they fall victim to the maniacal Jason, who stalks them at every turn...</t>
  </si>
  <si>
    <t>https://www.themoviedb.org/movie/9728</t>
  </si>
  <si>
    <t>Friday the 13th: Part 2 (1981)</t>
  </si>
  <si>
    <t>Friday the 13th: Part 2</t>
  </si>
  <si>
    <t>/92rGctBMTv4uaSlIBVnhz01kRWL.jpg</t>
  </si>
  <si>
    <t>https://image.tmdb.org/t/p/w342/92rGctBMTv4uaSlIBVnhz01kRWL.jpg</t>
  </si>
  <si>
    <t>Five years after the horrible bloodbath at Camp Crystal Lake, new counselors roam the area, not sensing the ominous lurking presence that proves that the grisly legend is real.</t>
  </si>
  <si>
    <t>https://www.themoviedb.org/movie/9725</t>
  </si>
  <si>
    <t>Friday the 13th: Part V - A New Beginning (1985)</t>
  </si>
  <si>
    <t>Friday the 13th: Part V - A New Beginning</t>
  </si>
  <si>
    <t>/ewnIs4aCuWnKQ13Eaj8f3ybrQc8.jpg</t>
  </si>
  <si>
    <t>https://image.tmdb.org/t/p/w342/ewnIs4aCuWnKQ13Eaj8f3ybrQc8.jpg</t>
  </si>
  <si>
    <t>Homicidal maniac Jason returns from the grave to cause more bloody mayhem. Young Tommy may have escaped from Crystal Lake, but he’s still haunted by the gruesome events that happened there. When gory murders start happening at the secluded halfway house for troubled teens where he now lives, it seems like his nightmarish nemesis, Jason, is back for more sadistic slaughters.</t>
  </si>
  <si>
    <t>https://www.themoviedb.org/movie/9731</t>
  </si>
  <si>
    <t>Friday the 13th: Part VI - Jason Lives (1986)</t>
  </si>
  <si>
    <t>Friday the 13th: Part VI - Jason Lives</t>
  </si>
  <si>
    <t>/6vdUpHvkspQonXBdWcLWW5ciEPJ.jpg</t>
  </si>
  <si>
    <t>https://image.tmdb.org/t/p/w342/6vdUpHvkspQonXBdWcLWW5ciEPJ.jpg</t>
  </si>
  <si>
    <t>Tommy Jarvis, tormented by the fear that maybe Jason isn't really dead, unwittingly resurrects the mass murderer for another bloody rampage.</t>
  </si>
  <si>
    <t>https://www.themoviedb.org/movie/10225</t>
  </si>
  <si>
    <t>Friday the 13th: Part VII - The New Blood (1988)</t>
  </si>
  <si>
    <t>Friday the 13th: Part VII - The New Blood</t>
  </si>
  <si>
    <t>/rUzk9Qnyz2FZGxHMBrq6DYIQZkO.jpg</t>
  </si>
  <si>
    <t>https://image.tmdb.org/t/p/w342/rUzk9Qnyz2FZGxHMBrq6DYIQZkO.jpg</t>
  </si>
  <si>
    <t>Tina Shepard, a telekinetic teenage girl, accidentally unchains Jason from his watery grave, allowing him to go on another killing spree in the area.</t>
  </si>
  <si>
    <t>https://www.themoviedb.org/movie/10281</t>
  </si>
  <si>
    <t>Friday the 13th: Part VIII - Jason Takes Manhattan (1989)</t>
  </si>
  <si>
    <t>Friday the 13th: Part VIII - Jason Takes Manhattan</t>
  </si>
  <si>
    <t>/6ezOsZ9UzqGnbDokaatxdOWP6e9.jpg</t>
  </si>
  <si>
    <t>https://image.tmdb.org/t/p/w342/6ezOsZ9UzqGnbDokaatxdOWP6e9.jpg</t>
  </si>
  <si>
    <t>Jason ships out aboard a teen-filled "love boat" bound for New York, which he soon transforms into the ultimate voyage of the damned.</t>
  </si>
  <si>
    <t>https://www.themoviedb.org/movie/10283</t>
  </si>
  <si>
    <t>Friday the 13th: The Final Chapter (1984)</t>
  </si>
  <si>
    <t>Friday the 13th: The Final Chapter</t>
  </si>
  <si>
    <t>/1J7zudfR3VLPwAf9lK5YPfSu0n6.jpg</t>
  </si>
  <si>
    <t>https://image.tmdb.org/t/p/w342/1J7zudfR3VLPwAf9lK5YPfSu0n6.jpg</t>
  </si>
  <si>
    <t>After his revival in a hospital morgue, Jason fixes his vengeful attention on the Jarvis family and a group of hitherto carefree teenagers.</t>
  </si>
  <si>
    <t>https://www.themoviedb.org/movie/9730</t>
  </si>
  <si>
    <t>Friends with Benefits (2011)</t>
  </si>
  <si>
    <t>Friends with Benefits</t>
  </si>
  <si>
    <t>Romance, Comedy</t>
  </si>
  <si>
    <t>/nKhhDFCdzxeJ3GUunQ570LDpUkz.jpg</t>
  </si>
  <si>
    <t>https://image.tmdb.org/t/p/w342/nKhhDFCdzxeJ3GUunQ570LDpUkz.jpg</t>
  </si>
  <si>
    <t>Dylan is done with relationships. Jamie decides to stop buying into the Hollywood clichés of true love. When the two become friends they decide to try something new and take advantage of their mutual attraction - but without any emotional attachment.</t>
  </si>
  <si>
    <t>https://www.themoviedb.org/movie/50544</t>
  </si>
  <si>
    <t>Frontier(s) (2007)</t>
  </si>
  <si>
    <t>Frontier(s)</t>
  </si>
  <si>
    <t>Drama, Horror, Action, Thriller</t>
  </si>
  <si>
    <t>/6GISAjE0XiSucmzXIhb1tdnV2yC.jpg</t>
  </si>
  <si>
    <t>https://image.tmdb.org/t/p/w342/6GISAjE0XiSucmzXIhb1tdnV2yC.jpg</t>
  </si>
  <si>
    <t>A gang of young thieves flee Paris during the violent aftermath of a political election, only to hole up at an Inn run by neo-Nazis.</t>
  </si>
  <si>
    <t>https://www.themoviedb.org/movie/13492</t>
  </si>
  <si>
    <t>Funny Games (1997)</t>
  </si>
  <si>
    <t>Funny Games</t>
  </si>
  <si>
    <t>Drama, Horror, Thriller</t>
  </si>
  <si>
    <t>/vUJxLlRGM6KfXQDeAHqyMyhrI59.jpg</t>
  </si>
  <si>
    <t>https://image.tmdb.org/t/p/w342/vUJxLlRGM6KfXQDeAHqyMyhrI59.jpg</t>
  </si>
  <si>
    <t>Two psychotic young men take a mother, father, and son hostage in their vacation cabin and force them to play sadistic "games" with one another for their own amusement.</t>
  </si>
  <si>
    <t>https://www.themoviedb.org/movie/10234</t>
  </si>
  <si>
    <t>Funny People (2009)</t>
  </si>
  <si>
    <t>Funny People</t>
  </si>
  <si>
    <t>Comedy, Drama</t>
  </si>
  <si>
    <t>/gEYKD5cWCBGg8Za3hhwDBk3gEsP.jpg</t>
  </si>
  <si>
    <t>https://image.tmdb.org/t/p/w342/gEYKD5cWCBGg8Za3hhwDBk3gEsP.jpg</t>
  </si>
  <si>
    <t>Famous and wealthy funnyman George Simmons doesn't give much thought to how he treats people until a doctor delivers stunning health news, forcing George to reevaluate his priorities with a little help from aspiring stand-up comic Ira.</t>
  </si>
  <si>
    <t>https://www.themoviedb.org/movie/20829</t>
  </si>
  <si>
    <t>Fury (2014)</t>
  </si>
  <si>
    <t>Fury</t>
  </si>
  <si>
    <t>War, Drama, Action</t>
  </si>
  <si>
    <t>/pfte7wdMobMF4CVHuOxyu6oqeeA.jpg</t>
  </si>
  <si>
    <t>https://image.tmdb.org/t/p/w342/pfte7wdMobMF4CVHuOxyu6oqeeA.jpg</t>
  </si>
  <si>
    <t>April, 1945. As the Allies make their final push in the European Theatre, a battle-hardened army sergeant named Wardaddy commands a Sherman tank and her five-man crew on a deadly mission behind enemy lines. Outnumbered and outgunned, and with a rookie soldier thrust into their platoon, Wardaddy and his men face overwhelming odds in their heroic attempts to strike at the heart of Nazi Germany.</t>
  </si>
  <si>
    <t>https://www.themoviedb.org/movie/228150</t>
  </si>
  <si>
    <t>Get Hard (2015)</t>
  </si>
  <si>
    <t>Get Hard</t>
  </si>
  <si>
    <t>/rJPbS2cYOYhDCjT5NmW1Fm6gFl3.jpg</t>
  </si>
  <si>
    <t>https://image.tmdb.org/t/p/w342/rJPbS2cYOYhDCjT5NmW1Fm6gFl3.jpg</t>
  </si>
  <si>
    <t>When millionaire hedge 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</si>
  <si>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https://www.themoviedb.org/movie/257091</t>
  </si>
  <si>
    <t>Ghost Ship (2002)</t>
  </si>
  <si>
    <t>Ghost Ship</t>
  </si>
  <si>
    <t>/kIlzZJqV4SCGHrrjoGLBhmsO7z2.jpg</t>
  </si>
  <si>
    <t>https://image.tmdb.org/t/p/w342/kIlzZJqV4SCGHrrjoGLBhmsO7z2.jpg</t>
  </si>
  <si>
    <t>After discovering a passenger ship missing since 1962 floating adrift on the Bering Sea, salvagers claim the vessel as their own. Once they begin towing the ghost ship towards harbor, a series of bizarre occurrences happen and the group becomes trapped inside the ship, which they soon learn is inhabited by a demonic creature.</t>
  </si>
  <si>
    <t>https://www.themoviedb.org/movie/9645</t>
  </si>
  <si>
    <t>God Bless America (2011)</t>
  </si>
  <si>
    <t>God Bless America</t>
  </si>
  <si>
    <t>Comedy, Drama, Crime</t>
  </si>
  <si>
    <t>/jEyiGve8BLOCvi8R2tL8H52aLp4.jpg</t>
  </si>
  <si>
    <t>https://image.tmdb.org/t/p/w342/jEyiGve8BLOCvi8R2tL8H52aLp4.jpg</t>
  </si>
  <si>
    <t>Fed up with the cruelty and stupidity of American culture, an unlikely duo goes on a killing spree, killing reality TV stars, bigots and others they find repugnant.</t>
  </si>
  <si>
    <t>https://www.themoviedb.org/movie/74306</t>
  </si>
  <si>
    <t>Godzilla vs. Kong (2021)</t>
  </si>
  <si>
    <t>Godzilla vs. Kong</t>
  </si>
  <si>
    <t>Action, Science Fiction, Adventure</t>
  </si>
  <si>
    <t>/pgqgaUx1cJb5oZQQ5v0tNARCeBp.jpg</t>
  </si>
  <si>
    <t>https://image.tmdb.org/t/p/w342/pgqgaUx1cJb5oZQQ5v0tNARCeBp.jpg</t>
  </si>
  <si>
    <t>In a time when monsters walk the Earth, humanity’s fight for its future sets Godzilla and Kong on a collision course that will see the two most powerful forces of nature on the planet collide in a spectacular battle for the ages.</t>
  </si>
  <si>
    <t>https://www.themoviedb.org/movie/399566</t>
  </si>
  <si>
    <t>Godzilla: King of the Monsters (2019)</t>
  </si>
  <si>
    <t>Godzilla: King of the Monsters</t>
  </si>
  <si>
    <t>Science Fiction, Action</t>
  </si>
  <si>
    <t>/mzOHg7Q5q9yUmY0b9Esu8Qe6Nnm.jpg</t>
  </si>
  <si>
    <t>https://image.tmdb.org/t/p/w342/mzOHg7Q5q9yUmY0b9Esu8Qe6Nnm.jpg</t>
  </si>
  <si>
    <t>Follows the heroic efforts of the crypto-zoological agency Monarch as its members face off against a battery of god-sized monsters, including the mighty Godzilla, who collides with Mothra, Rodan, and his ultimate nemesis, the three-headed King Ghidorah. When these ancient super-species, thought to be mere myths, rise again, they all vie for supremacy, leaving humanity's very existence hanging in the balance.</t>
  </si>
  <si>
    <t>https://www.themoviedb.org/movie/373571</t>
  </si>
  <si>
    <t>Gonjiam: Haunted Asylum (2018)</t>
  </si>
  <si>
    <t>Gonjiam: Haunted Asylum</t>
  </si>
  <si>
    <t>/fNqlsmu2tiI1bXcpU31yjHPkiJz.jpg</t>
  </si>
  <si>
    <t>https://image.tmdb.org/t/p/w342/fNqlsmu2tiI1bXcpU31yjHPkiJz.jpg</t>
  </si>
  <si>
    <t>The crew of a horror web series travels to an abandoned asylum for a live broadcast, but they encounter much more than expected as they move deeper inside the nightmarish old building.</t>
  </si>
  <si>
    <t>https://www.themoviedb.org/movie/508642</t>
  </si>
  <si>
    <t>Goon (2011)</t>
  </si>
  <si>
    <t>Goon</t>
  </si>
  <si>
    <t>/xLmZCfJici1SdT6zmhDtGVWsXXi.jpg</t>
  </si>
  <si>
    <t>https://image.tmdb.org/t/p/w342/xLmZCfJici1SdT6zmhDtGVWsXXi.jpg</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</si>
  <si>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</si>
  <si>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https://www.themoviedb.org/movie/74387</t>
  </si>
  <si>
    <t>Grave Encounters (2011)</t>
  </si>
  <si>
    <t>Grave Encounters</t>
  </si>
  <si>
    <t>/8vnsB3Rg9Gb91UOaecXRb7dYB37.jpg</t>
  </si>
  <si>
    <t>https://image.tmdb.org/t/p/w342/8vnsB3Rg9Gb91UOaecXRb7dYB37.jpg</t>
  </si>
  <si>
    <t>A crew from a paranormal reality television show lock themselves in a haunted psychiatric hospital. They search for evidence of paranormal activity as they shoot what ends up becoming their final episode.</t>
  </si>
  <si>
    <t>https://www.themoviedb.org/movie/50698</t>
  </si>
  <si>
    <t>The Great Gatsby (2013)</t>
  </si>
  <si>
    <t>The Great Gatsby</t>
  </si>
  <si>
    <t>Drama, Romance</t>
  </si>
  <si>
    <t>/tyxfCBQv6Ap74jcu3xd7aBiaa29.jpg</t>
  </si>
  <si>
    <t>https://image.tmdb.org/t/p/w342/tyxfCBQv6Ap74jcu3xd7aBiaa29.jpg</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</si>
  <si>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</si>
  <si>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https://www.themoviedb.org/movie/64682</t>
  </si>
  <si>
    <t>Gremlins (1984)</t>
  </si>
  <si>
    <t>Gremlins</t>
  </si>
  <si>
    <t>Fantasy, Horror, Comedy</t>
  </si>
  <si>
    <t>/6m0F7fsXjQvUbCZrPWcJNrjvIui.jpg</t>
  </si>
  <si>
    <t>https://image.tmdb.org/t/p/w342/6m0F7fsXjQvUbCZrPWcJNrjvIui.jpg</t>
  </si>
  <si>
    <t>After receiving an exotic small animal as a Christmas gift, a young man inadvertently breaks three important rules concerning his new pet, which unleashes a horde of malevolently mischievous creatures on a small town.</t>
  </si>
  <si>
    <t>https://www.themoviedb.org/movie/927</t>
  </si>
  <si>
    <t>Gremlins 2: The New Batch (1990)</t>
  </si>
  <si>
    <t>Gremlins 2: The New Batch</t>
  </si>
  <si>
    <t>Comedy, Horror, Fantasy</t>
  </si>
  <si>
    <t>/35F5yD7MljvBE2AC0NHAVCoPGEi.jpg</t>
  </si>
  <si>
    <t>https://image.tmdb.org/t/p/w342/35F5yD7MljvBE2AC0NHAVCoPGEi.jpg</t>
  </si>
  <si>
    <t>Young sweethearts Billy and Kate move to the Big Apple, land jobs in a high-tech office park and soon reunite with the friendly and lovable Gizmo. But a series of accidents creates a whole new generation of Gremlins. The situation worsens when the devilish green creatures invade a top-secret laboratory and develop genetically altered powers, making them even harder to destroy!</t>
  </si>
  <si>
    <t>https://www.themoviedb.org/movie/928</t>
  </si>
  <si>
    <t>The Grudge (2019)</t>
  </si>
  <si>
    <t>The Grudge</t>
  </si>
  <si>
    <t>/vN7JHlHOT9rHNDU27tfYqhABBj5.jpg</t>
  </si>
  <si>
    <t>https://image.tmdb.org/t/p/w342/vN7JHlHOT9rHNDU27tfYqhABBj5.jpg</t>
  </si>
  <si>
    <t>After a young mother murders her family in her own house, a detective attempts to investigate the mysterious case, only to discover that the house is cursed by a vengeful ghost. Now targeted by the demonic spirits, the detective must do anything to protect herself and her family from harm.</t>
  </si>
  <si>
    <t>https://www.themoviedb.org/movie/465086</t>
  </si>
  <si>
    <t>The Grudge (2004)</t>
  </si>
  <si>
    <t>/7vPAVPKYexQVmvC578wPLn2CGCL.jpg</t>
  </si>
  <si>
    <t>https://image.tmdb.org/t/p/w342/7vPAVPKYexQVmvC578wPLn2CGCL.jpg</t>
  </si>
  <si>
    <t>An American nurse living and working in Tokyo is exposed to a mysterious supernatural curse, one that locks a person in a powerful rage before claiming their life and spreading to another victim.</t>
  </si>
  <si>
    <t>https://www.themoviedb.org/movie/1970</t>
  </si>
  <si>
    <t>The Grudge 2 (2006)</t>
  </si>
  <si>
    <t>The Grudge 2</t>
  </si>
  <si>
    <t>/oHLeYXqA8P0jVIY2C8kQFyQTzkr.jpg</t>
  </si>
  <si>
    <t>https://image.tmdb.org/t/p/w342/oHLeYXqA8P0jVIY2C8kQFyQTzkr.jpg</t>
  </si>
  <si>
    <t>A young woman encounters a malevolent supernatural force while searching for her missing sister in Tokyo, a mean high school prank goes horribly wrong, and strange things begin happening in a Chicago apartment building.</t>
  </si>
  <si>
    <t>https://www.themoviedb.org/movie/1975</t>
  </si>
  <si>
    <t>The Grudge 3 (2009)</t>
  </si>
  <si>
    <t>The Grudge 3</t>
  </si>
  <si>
    <t>Mystery, Horror, Thriller</t>
  </si>
  <si>
    <t>/uEOWWRr8BbgPM0BiJiSTwHGaRx4.jpg</t>
  </si>
  <si>
    <t>https://image.tmdb.org/t/p/w342/uEOWWRr8BbgPM0BiJiSTwHGaRx4.jpg</t>
  </si>
  <si>
    <t>Jake Kimble, the sole survivor of the Chicago massacre, is killed while in solitary confinement. His doctor begins investigating the claims he made about a long-haired woman in white, as a mysterious Japanese woman arrives at his old apartment building to help them get rid of the curse.</t>
  </si>
  <si>
    <t>https://www.themoviedb.org/movie/1977</t>
  </si>
  <si>
    <t>Guardians of the Galaxy (2014)</t>
  </si>
  <si>
    <t>Guardians of the Galaxy</t>
  </si>
  <si>
    <t>/r7vmZjiyZw9rpJMQJdXpjgiCOk9.jpg</t>
  </si>
  <si>
    <t>https://image.tmdb.org/t/p/w342/r7vmZjiyZw9rpJMQJdXpjgiCOk9.jpg</t>
  </si>
  <si>
    <t>Light years from Earth, 26 years after being abducted, Peter Quill finds himself the prime target of a manhunt after discovering an orb wanted by Ronan the Accuser.</t>
  </si>
  <si>
    <t>https://www.themoviedb.org/movie/118340</t>
  </si>
  <si>
    <t>Hacksaw Ridge (2016)</t>
  </si>
  <si>
    <t>Hacksaw Ridge</t>
  </si>
  <si>
    <t>Drama, History, War</t>
  </si>
  <si>
    <t>/fnOMP6mjmOmZwmlC1n0K7ivrzt1.jpg</t>
  </si>
  <si>
    <t>https://image.tmdb.org/t/p/w342/fnOMP6mjmOmZwmlC1n0K7ivrzt1.jpg</t>
  </si>
  <si>
    <t>WWII American Army Medic Desmond T. Doss, who served during the Battle of Okinawa, refuses to kill people and becomes the first Conscientious Objector in American history to receive the Congressional Medal of Honor.</t>
  </si>
  <si>
    <t>https://www.themoviedb.org/movie/324786</t>
  </si>
  <si>
    <t>Halloween (2018)</t>
  </si>
  <si>
    <t>Halloween</t>
  </si>
  <si>
    <t>/wijlZ3HaYMvlDTPqJoTCWKFkCPU.jpg</t>
  </si>
  <si>
    <t>https://image.tmdb.org/t/p/w342/wijlZ3HaYMvlDTPqJoTCWKFkCPU.jpg</t>
  </si>
  <si>
    <t>Fifteen years after murdering his sister on Halloween Night 1963, Michael Myers escapes from a mental hospital and returns to the small town of Haddonfield, Illinois to kill again.</t>
  </si>
  <si>
    <t>https://www.themoviedb.org/movie/948</t>
  </si>
  <si>
    <t>Halloween (2007)</t>
  </si>
  <si>
    <t>/cD8JrfSEI4j7WVnKM1GdiYzMoUh.jpg</t>
  </si>
  <si>
    <t>https://image.tmdb.org/t/p/w342/cD8JrfSEI4j7WVnKM1GdiYzMoUh.jpg</t>
  </si>
  <si>
    <t>The early years of young Michael Myers and the events leading up to his fateful Halloween night murder rampage in the quiet town of Haddonfield, Illinois.</t>
  </si>
  <si>
    <t>https://www.themoviedb.org/movie/2082</t>
  </si>
  <si>
    <t>Halloween Ends (2022)</t>
  </si>
  <si>
    <t>Halloween Ends</t>
  </si>
  <si>
    <t>/q06saepaXeBdkMibuN4R2fXmgIw.jpg</t>
  </si>
  <si>
    <t>https://image.tmdb.org/t/p/w342/q06saepaXeBdkMibuN4R2fXmgIw.jpg</t>
  </si>
  <si>
    <t>Four years after the events of Halloween in 2018, Laurie has decided to liberate herself from fear and rage and embrace life. But when a young man is accused of killing a boy he was babysitting, it ignites a cascade of violence and terror that will force Laurie to finally confront the evil she can’t control, once and for all.</t>
  </si>
  <si>
    <t>https://www.themoviedb.org/movie/616820</t>
  </si>
  <si>
    <t>Halloween II (2009)</t>
  </si>
  <si>
    <t>Halloween II</t>
  </si>
  <si>
    <t>/vSHPM4LQDpWdQrD5KZWK6wNqSOD.jpg</t>
  </si>
  <si>
    <t>https://image.tmdb.org/t/p/w342/vSHPM4LQDpWdQrD5KZWK6wNqSOD.jpg</t>
  </si>
  <si>
    <t>Laurie Strode struggles to come to terms with her brother Michael's deadly return to Haddonfield, Illinois. Meanwhile, Michael prepares for another reunion with his sister.</t>
  </si>
  <si>
    <t>https://www.themoviedb.org/movie/24150</t>
  </si>
  <si>
    <t>Halloween II (1981)</t>
  </si>
  <si>
    <t>/3nX5HHGgOKaVMxXwMLT9DHO1Ne6.jpg</t>
  </si>
  <si>
    <t>https://image.tmdb.org/t/p/w342/3nX5HHGgOKaVMxXwMLT9DHO1Ne6.jpg</t>
  </si>
  <si>
    <t>After failing to kill stubborn survivor Laurie and taking a bullet or six from former psychiatrist Dr. Sam Loomis, Michael Myers has followed Laurie to the Haddonfield Memorial Hospital, where she's been admitted for Myers' attempt on her life. The institution proves to be particularly suited to serial killers, however, as Myers cuts, stabs and slashes his way through hospital staff to reach his favorite victim.</t>
  </si>
  <si>
    <t>https://www.themoviedb.org/movie/11281</t>
  </si>
  <si>
    <t>Halloween III: Season of the Witch (1982)</t>
  </si>
  <si>
    <t>Halloween III: Season of the Witch</t>
  </si>
  <si>
    <t>Horror, Science Fiction, Mystery</t>
  </si>
  <si>
    <t>/WABfdeaThFYXCySGIOvRNv2sSW.jpg</t>
  </si>
  <si>
    <t>https://image.tmdb.org/t/p/w342/WABfdeaThFYXCySGIOvRNv2sSW.jpg</t>
  </si>
  <si>
    <t>After a terrified toy salesman is mysteriously attacked and brought to the hospital, clutching the year's most popular Halloween mask, Dr. Daniel Challis sets out to investigate the strange events and finds himself thrust into a nightmarish conspiracy.</t>
  </si>
  <si>
    <t>https://www.themoviedb.org/movie/10676</t>
  </si>
  <si>
    <t>Halloween Kills (2021)</t>
  </si>
  <si>
    <t>Halloween Kills</t>
  </si>
  <si>
    <t>/ir9eyz1mtgsohjvo7UYtqUfFuES.jpg</t>
  </si>
  <si>
    <t>https://image.tmdb.org/t/p/w342/ir9eyz1mtgsohjvo7UYtqUfFuES.jpg</t>
  </si>
  <si>
    <t>Michael manages to free himself from Laurie Strode's trap to resume his ritual bloodbath. As she fights for her life from injuries from their last encounter, she inspires her daughter Karen, her granddaughter Allyson, and all of Haddonfield to rise up against the unstoppable monster.</t>
  </si>
  <si>
    <t>https://www.themoviedb.org/movie/610253</t>
  </si>
  <si>
    <t>Hancock (2008)</t>
  </si>
  <si>
    <t>Hancock</t>
  </si>
  <si>
    <t>Fantasy, Action</t>
  </si>
  <si>
    <t>/7DyuV2G0hLEqHeueDfOqhZ2DVut.jpg</t>
  </si>
  <si>
    <t>https://image.tmdb.org/t/p/w342/7DyuV2G0hLEqHeueDfOqhZ2DVut.jpg</t>
  </si>
  <si>
    <t>Hancock is a down-and-out superhero who's forced to employ a PR expert to help repair his image when the public grows weary of all the damage he's inflicted during his lifesaving heroics. The agent's idea of imprisoning the antihero to make the world miss him proves successful, but will Hancock stick to his new sense of purpose or slip back into old habits?</t>
  </si>
  <si>
    <t>https://www.themoviedb.org/movie/8960</t>
  </si>
  <si>
    <t>The Hangover (2009)</t>
  </si>
  <si>
    <t>The Hangover</t>
  </si>
  <si>
    <t>/A0uS9rHR56FeBtpjVki16M5xxSW.jpg</t>
  </si>
  <si>
    <t>https://image.tmdb.org/t/p/w342/A0uS9rHR56FeBtpjVki16M5xxSW.jpg</t>
  </si>
  <si>
    <t>When three friends finally come to after a raucous night of bachelor-party revelry, they find a baby in the closet and a tiger in the bathroom. But they can't seem to locate their best friend, Doug – who's supposed to be tying the knot. Launching a frantic search for Doug, the trio perseveres through a nasty hangover to try to make it to the church on time.</t>
  </si>
  <si>
    <t>https://www.themoviedb.org/movie/18785</t>
  </si>
  <si>
    <t>The Hangover Part II (2011)</t>
  </si>
  <si>
    <t>The Hangover Part II</t>
  </si>
  <si>
    <t>/cKZu0Fdkj7dmwbfMpgDqVVCkLJQ.jpg</t>
  </si>
  <si>
    <t>https://image.tmdb.org/t/p/w342/cKZu0Fdkj7dmwbfMpgDqVVCkLJQ.jpg</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</si>
  <si>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</si>
  <si>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https://www.themoviedb.org/movie/45243</t>
  </si>
  <si>
    <t>The Hangover Part III (2013)</t>
  </si>
  <si>
    <t>The Hangover Part III</t>
  </si>
  <si>
    <t>/vtxuPWkdllLNLVyGjKYa267ntuH.jpg</t>
  </si>
  <si>
    <t>https://image.tmdb.org/t/p/w342/vtxuPWkdllLNLVyGjKYa267ntuH.jpg</t>
  </si>
  <si>
    <t>This time, there's no wedding. No bachelor party. What could go wrong, right? But when the Wolfpack hits the road, all bets are off.</t>
  </si>
  <si>
    <t>https://www.themoviedb.org/movie/109439</t>
  </si>
  <si>
    <t>Happiness (1998)</t>
  </si>
  <si>
    <t>Happiness</t>
  </si>
  <si>
    <t>/rYfUcEV88Z3gENrfYTE6i8yBkDr.jpg</t>
  </si>
  <si>
    <t>https://image.tmdb.org/t/p/w342/rYfUcEV88Z3gENrfYTE6i8yBkDr.jpg</t>
  </si>
  <si>
    <t>The lives of several individuals intertwine as they go about their lives in their own unique ways, engaging in acts which society as a whole might find disturbing in a desperate search for human connection.</t>
  </si>
  <si>
    <t>https://www.themoviedb.org/movie/10683</t>
  </si>
  <si>
    <t>Happy Gilmore (1996)</t>
  </si>
  <si>
    <t>Happy Gilmore</t>
  </si>
  <si>
    <t>/4RnCeRzvI1xk5tuNWjpDKzSnJDk.jpg</t>
  </si>
  <si>
    <t>https://image.tmdb.org/t/p/w342/4RnCeRzvI1xk5tuNWjpDKzSnJDk.jpg</t>
  </si>
  <si>
    <t>Failed hockey player-turned-golf whiz Happy Gilmore — whose unconventional approach and antics on the green courts the ire of rival Shooter McGavin — is determined to win a PGA tournament so he can save his granny's house with the prize money. Meanwhile, an attractive tour publicist tries to soften Happy's image.</t>
  </si>
  <si>
    <t>https://www.themoviedb.org/movie/9614</t>
  </si>
  <si>
    <t>Harold &amp; Kumar Escape from Guantanamo Bay (2008)</t>
  </si>
  <si>
    <t>Harold &amp; Kumar Escape from Guantanamo Bay</t>
  </si>
  <si>
    <t>Comedy, Adventure</t>
  </si>
  <si>
    <t>/gmXKlm8c8O7JEISYP4WiWq2x3We.jpg</t>
  </si>
  <si>
    <t>https://image.tmdb.org/t/p/w342/gmXKlm8c8O7JEISYP4WiWq2x3We.jpg</t>
  </si>
  <si>
    <t>Having satisfied their urge for White Castle, Harold and Kumar jump on a plane to catch up with Harold's love interest, who's headed for the Netherlands. But the pair must change their plans when Kumar is accused of being a terrorist. Rob Corddry also stars in this wild comedy sequel that follows the hapless stoners' misadventures as they try to avoid being captured by the Department of Homeland Security.</t>
  </si>
  <si>
    <t>https://www.themoviedb.org/movie/13335</t>
  </si>
  <si>
    <t>Harold &amp; Kumar Go to White Castle (2004)</t>
  </si>
  <si>
    <t>Harold &amp; Kumar Go to White Castle</t>
  </si>
  <si>
    <t>/5vO7R4xYlDipTp8gzfRbWegO8eb.jpg</t>
  </si>
  <si>
    <t>https://image.tmdb.org/t/p/w342/5vO7R4xYlDipTp8gzfRbWegO8eb.jpg</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</si>
  <si>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</si>
  <si>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https://www.themoviedb.org/movie/11282</t>
  </si>
  <si>
    <t>The Haunting of Bly Manor (2020)</t>
  </si>
  <si>
    <t>The Haunting of Bly Manor</t>
  </si>
  <si>
    <t>The Haunting of Hill House (2018)</t>
  </si>
  <si>
    <t>The Haunting of Hill House</t>
  </si>
  <si>
    <t>Hell Fest (2018)</t>
  </si>
  <si>
    <t>Hell Fest</t>
  </si>
  <si>
    <t>/qgLlnlrUtTKXkdrgMBwUfkyAkya.jpg</t>
  </si>
  <si>
    <t>https://image.tmdb.org/t/p/w342/qgLlnlrUtTKXkdrgMBwUfkyAkya.jpg</t>
  </si>
  <si>
    <t>On Halloween night at a horror theme park, a costumed killer begins slaying innocent patrons who believe that it's all part of the festivities.</t>
  </si>
  <si>
    <t>https://www.themoviedb.org/movie/429476</t>
  </si>
  <si>
    <t>Hell House LLC II: The Abaddon Hotel (2018)</t>
  </si>
  <si>
    <t>Hell House LLC II: The Abaddon Hotel</t>
  </si>
  <si>
    <t>/sFPkQLUq8wmNOL2XMow4WF5tOpu.jpg</t>
  </si>
  <si>
    <t>https://image.tmdb.org/t/p/w342/sFPkQLUq8wmNOL2XMow4WF5tOpu.jpg</t>
  </si>
  <si>
    <t>Eight years after the opening night tragedy of HELL HOUSE LLC, many unanswered questions remain. Thanks to an anonymous tip, an investigative journalist is convinced that key evidence is hidden inside the abandoned Abaddon Hotel. She assembles a team to break into the hotel in hopes of discovering the truth. But the source of the tip and the secrets of the Abaddon Hotel are more horrifying than any of them could have imagined.</t>
  </si>
  <si>
    <t>https://www.themoviedb.org/movie/532973</t>
  </si>
  <si>
    <t>Hell House LLC III: Lake of Fire (2019)</t>
  </si>
  <si>
    <t>Hell House LLC III: Lake of Fire</t>
  </si>
  <si>
    <t>/gchygJq6AnzGFg0uYRDKn7mqsyU.jpg</t>
  </si>
  <si>
    <t>https://image.tmdb.org/t/p/w342/gchygJq6AnzGFg0uYRDKn7mqsyU.jpg</t>
  </si>
  <si>
    <t>Set one year after the events of Hell House LLC II, the hotel is on the verge of being torn down when it is purchased by billionaire Russell Wynn as the new home for his popular interactive show, Insomnia. He invites journalist Venessa Sheppard and her crew to record everything happening inside the hotel leading up to the performance - but they soon encounter a more nefarious plot, one that threatens to unleash a veritable hell on earth.</t>
  </si>
  <si>
    <t>https://www.themoviedb.org/movie/614722</t>
  </si>
  <si>
    <t>Hell House LLC Origins: The Carmichael Manor (2023)</t>
  </si>
  <si>
    <t>Hell House LLC Origins: The Carmichael Manor</t>
  </si>
  <si>
    <t>/bsd1ovBNOhYpQElhlZAqpMo51q6.jpg</t>
  </si>
  <si>
    <t>https://image.tmdb.org/t/p/w342/bsd1ovBNOhYpQElhlZAqpMo51q6.jpg</t>
  </si>
  <si>
    <t>A group of cold case investigators stay at the Carmichael Manor, site of the grisly and unsolved murders of the Carmichael family back in the eighties. After four nights, the group was never heard from again. What is discovered on their footage is even more disturbing than anything found on the Hell House tapes.</t>
  </si>
  <si>
    <t>https://www.themoviedb.org/movie/1035982</t>
  </si>
  <si>
    <t>Hell House LLC. (2015)</t>
  </si>
  <si>
    <t>Hell House LLC.</t>
  </si>
  <si>
    <t>/xUSCQEbbAy3Lv6r00RfXtdxhRDX.jpg</t>
  </si>
  <si>
    <t>https://image.tmdb.org/t/p/w342/xUSCQEbbAy3Lv6r00RfXtdxhRDX.jpg</t>
  </si>
  <si>
    <t>Five years after an unexplained malfunction causes the death of 15 tour-goers and staff on the opening night of a Halloween haunted house tour, a documentary crew travels back to the scene of the tragedy to find out what really happened.</t>
  </si>
  <si>
    <t>https://www.themoviedb.org/movie/359246</t>
  </si>
  <si>
    <t>Henry: Portrait of a Serial Killer (1986)</t>
  </si>
  <si>
    <t>Henry: Portrait of a Serial Killer</t>
  </si>
  <si>
    <t>Crime, Horror, Thriller, Drama</t>
  </si>
  <si>
    <t>/diVMzTarVLgjc3jyODyhZMadfwD.jpg</t>
  </si>
  <si>
    <t>https://image.tmdb.org/t/p/w342/diVMzTarVLgjc3jyODyhZMadfwD.jpg</t>
  </si>
  <si>
    <t>Arriving in Chicago, Henry moves in with ex-con acquaintance Otis and starts schooling him in the ways of the serial killer.</t>
  </si>
  <si>
    <t>https://www.themoviedb.org/movie/10692</t>
  </si>
  <si>
    <t>Hereditary (2018)</t>
  </si>
  <si>
    <t>Hereditary</t>
  </si>
  <si>
    <t>/hjlZSXM86wJrfCv5VKfR5DI2VeU.jpg</t>
  </si>
  <si>
    <t>https://image.tmdb.org/t/p/w342/hjlZSXM86wJrfCv5VKfR5DI2VeU.jpg</t>
  </si>
  <si>
    <t>Following the death of the Leigh family matriarch, Annie and her children uncover disturbing secrets about their heritage. Their daily lives are not only impacted, but they also become entangled in a chilling fate from which they cannot escape, driving them to the brink of madness.</t>
  </si>
  <si>
    <t>https://www.themoviedb.org/movie/493922</t>
  </si>
  <si>
    <t>Heretic (2024)</t>
  </si>
  <si>
    <t>Heretic</t>
  </si>
  <si>
    <t>/fr96XzlzsONrQrGfdLMiwtQjott.jpg</t>
  </si>
  <si>
    <t>https://image.tmdb.org/t/p/w342/fr96XzlzsONrQrGfdLMiwtQjott.jpg</t>
  </si>
  <si>
    <t>Two young missionaries are forced to prove their faith when they knock on the wrong door and are greeted by a diabolical Mr. Reed, becoming ensnared in his deadly game of cat-and-mouse.</t>
  </si>
  <si>
    <t>https://www.themoviedb.org/movie/1138194</t>
  </si>
  <si>
    <t>High Tension (2003)</t>
  </si>
  <si>
    <t>High Tension</t>
  </si>
  <si>
    <t>Horror, Thriller, Mystery</t>
  </si>
  <si>
    <t>/vKeFa7CqSxmWsQDjHP6SJXKoDbj.jpg</t>
  </si>
  <si>
    <t>https://image.tmdb.org/t/p/w342/vKeFa7CqSxmWsQDjHP6SJXKoDbj.jpg</t>
  </si>
  <si>
    <t>Best friends Marie and Alexia decide to spend a quiet weekend at Alexia's parents' secluded farmhouse. But on the night of their arrival, the girls' idyllic getaway turns into an endless night of horror.</t>
  </si>
  <si>
    <t>https://www.themoviedb.org/movie/10226</t>
  </si>
  <si>
    <t>The Hills Have Eyes (2006)</t>
  </si>
  <si>
    <t>The Hills Have Eyes</t>
  </si>
  <si>
    <t>Blu-ray, Blu-ray</t>
  </si>
  <si>
    <t>/2eJL1Ccr1FN3dm9OSDwyd8uaX1b.jpg</t>
  </si>
  <si>
    <t>https://image.tmdb.org/t/p/w342/2eJL1Ccr1FN3dm9OSDwyd8uaX1b.jpg</t>
  </si>
  <si>
    <t>Based on Wes Craven's 1977 suspenseful cult classic, The Hills Have Eyes is the story of a family road trip that goes terrifyingly awry when the travelers become stranded in a government atomic zone. Miles from nowhere, the Carter family soon realizes the seemingly uninhabited wasteland is actually the breeding ground of a blood-thirsty mutant family...and they are the prey.</t>
  </si>
  <si>
    <t>https://www.themoviedb.org/movie/9792</t>
  </si>
  <si>
    <t>The Hills Have Eyes 2 (2007)</t>
  </si>
  <si>
    <t>The Hills Have Eyes 2</t>
  </si>
  <si>
    <t>/3SX2UGSmAjIZsVACpshPpKtjbDr.jpg</t>
  </si>
  <si>
    <t>https://image.tmdb.org/t/p/w342/3SX2UGSmAjIZsVACpshPpKtjbDr.jpg</t>
  </si>
  <si>
    <t>A group of National Guard trainees on a routine mission find themselves up against cannibalistic mutants in the New Mexico desert.</t>
  </si>
  <si>
    <t>https://www.themoviedb.org/movie/9793</t>
  </si>
  <si>
    <t>The Hills Run Red (2009)</t>
  </si>
  <si>
    <t>The Hills Run Red</t>
  </si>
  <si>
    <t>/odPuG8mbDF12uMAQ5K4LuebtyUo.jpg</t>
  </si>
  <si>
    <t>https://image.tmdb.org/t/p/w342/odPuG8mbDF12uMAQ5K4LuebtyUo.jpg</t>
  </si>
  <si>
    <t>A group of young horror fans go searching for a film that mysteriously vanished years ago but instead find that the demented killer from the movie is real, and he's thrilled to meet fans who will die gruesomely for his art.</t>
  </si>
  <si>
    <t>https://www.themoviedb.org/movie/24001</t>
  </si>
  <si>
    <t>The Hobbit: An Unexpected Journey (2012)</t>
  </si>
  <si>
    <t>The Hobbit: An Unexpected Journey</t>
  </si>
  <si>
    <t>Adventure, Fantasy, Action</t>
  </si>
  <si>
    <t>/yHA9Fc37VmpUA5UncTxxo3rTGVA.jpg</t>
  </si>
  <si>
    <t>https://image.tmdb.org/t/p/w342/yHA9Fc37VmpUA5UncTxxo3rTGVA.jpg</t>
  </si>
  <si>
    <t>Bilbo Baggins, a hobbit enjoying his quiet life, is swept into an epic quest by Gandalf the Grey and thirteen dwarves who seek to reclaim their mountain home from Smaug, the dragon.</t>
  </si>
  <si>
    <t>https://www.themoviedb.org/movie/49051</t>
  </si>
  <si>
    <t>The Hobbit: The Battle of the Five Armies (2014)</t>
  </si>
  <si>
    <t>The Hobbit: The Battle of the Five Armies</t>
  </si>
  <si>
    <t>/xT98tLqatZPQApyRmlPL12LtiWp.jpg</t>
  </si>
  <si>
    <t>https://image.tmdb.org/t/p/w342/xT98tLqatZPQApyRmlPL12LtiWp.jpg</t>
  </si>
  <si>
    <t>Following Smaug's attack on Laketown,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</si>
  <si>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https://www.themoviedb.org/movie/122917</t>
  </si>
  <si>
    <t>The Hobbit: The Desolation of Smaug (2013)</t>
  </si>
  <si>
    <t>The Hobbit: The Desolation of Smaug</t>
  </si>
  <si>
    <t>Fantasy, Adventure, Action</t>
  </si>
  <si>
    <t>/xQYiXsheRCDBA39DOrmaw1aSpbk.jpg</t>
  </si>
  <si>
    <t>https://image.tmdb.org/t/p/w342/xQYiXsheRCDBA39DOrmaw1aSpbk.jpg</t>
  </si>
  <si>
    <t>The Dwarves, Bilbo and Gandalf have successfully escaped the Misty Mountains, and Bilbo has gained the One Ring. They all continue their journey to get their gold back from the Dragon, Smaug.</t>
  </si>
  <si>
    <t>https://www.themoviedb.org/movie/57158</t>
  </si>
  <si>
    <t>Horrible Bosses (2011)</t>
  </si>
  <si>
    <t>Horrible Bosses</t>
  </si>
  <si>
    <t>/uQkUwgyFHAm0jGQERPG6Z9o9Zbj.jpg</t>
  </si>
  <si>
    <t>https://image.tmdb.org/t/p/w342/uQkUwgyFHAm0jGQERPG6Z9o9Zbj.jpg</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</si>
  <si>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</si>
  <si>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https://www.themoviedb.org/movie/51540</t>
  </si>
  <si>
    <t>Hostel (2005)</t>
  </si>
  <si>
    <t>Hostel</t>
  </si>
  <si>
    <t>/dDrtuWUKhgUGp12kgUWuP0NpTdF.jpg</t>
  </si>
  <si>
    <t>https://image.tmdb.org/t/p/w342/dDrtuWUKhgUGp12kgUWuP0NpTdF.jpg</t>
  </si>
  <si>
    <t>Three backpackers head to a Slovakian city that promises to meet their hedonistic expectations, with no idea of the hell that awaits them.</t>
  </si>
  <si>
    <t>https://www.themoviedb.org/movie/1690</t>
  </si>
  <si>
    <t>Hostel: Part II (2007)</t>
  </si>
  <si>
    <t>Hostel: Part II</t>
  </si>
  <si>
    <t>/qB20aiY8Ah3pQikkBxm3j7jQVc8.jpg</t>
  </si>
  <si>
    <t>https://image.tmdb.org/t/p/w342/qB20aiY8Ah3pQikkBxm3j7jQVc8.jpg</t>
  </si>
  <si>
    <t>Three American college students studying abroad are lured to a Slovakian hostel, and discover the grim reality behind it.</t>
  </si>
  <si>
    <t>https://www.themoviedb.org/movie/1691</t>
  </si>
  <si>
    <t>Hot Tub Time Machine (2010)</t>
  </si>
  <si>
    <t>Hot Tub Time Machine</t>
  </si>
  <si>
    <t>Science Fiction, Comedy, Adventure</t>
  </si>
  <si>
    <t>/wjzbVXAes1acbh6k4OO5xVfy5.jpg</t>
  </si>
  <si>
    <t>https://image.tmdb.org/t/p/w342/wjzbVXAes1acbh6k4OO5xVfy5.jpg</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</si>
  <si>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</si>
  <si>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https://www.themoviedb.org/movie/23048</t>
  </si>
  <si>
    <t>House of 1000 Corpses (2003)</t>
  </si>
  <si>
    <t>House of 1000 Corpses</t>
  </si>
  <si>
    <t>/29c2qgXmSREosLBevOILEuMWzQC.jpg</t>
  </si>
  <si>
    <t>https://image.tmdb.org/t/p/w342/29c2qgXmSREosLBevOILEuMWzQC.jpg</t>
  </si>
  <si>
    <t>Two teenage couples traveling across the backwoods of Texas searching for urban legends of serial killers end up as prisoners of a bizarre and sadistic backwater family of serial killers.</t>
  </si>
  <si>
    <t>https://www.themoviedb.org/movie/2662</t>
  </si>
  <si>
    <t>House of Wax (2005)</t>
  </si>
  <si>
    <t>House of Wax</t>
  </si>
  <si>
    <t>/aCLSgw1DaqkRvosYc3YUttBTtpT.jpg</t>
  </si>
  <si>
    <t>https://image.tmdb.org/t/p/w342/aCLSgw1DaqkRvosYc3YUttBTtpT.jpg</t>
  </si>
  <si>
    <t>A group of unwitting teens are stranded near a strange wax museum and soon must fight to survive and keep from becoming the next exhibit.</t>
  </si>
  <si>
    <t>https://www.themoviedb.org/movie/10066</t>
  </si>
  <si>
    <t>The House That Jack Built (2018)</t>
  </si>
  <si>
    <t>The House That Jack Built</t>
  </si>
  <si>
    <t>Drama, Horror, Crime, Thriller</t>
  </si>
  <si>
    <t>/bMUGNkPaHOurcBK9g3XpJx3fxuO.jpg</t>
  </si>
  <si>
    <t>https://image.tmdb.org/t/p/w342/bMUGNkPaHOurcBK9g3XpJx3fxuO.jpg</t>
  </si>
  <si>
    <t>Failed architect, engineer and vicious murderer Jack narrates the details of some of his most elaborately orchestrated crimes, each of them a towering piece of art that defines his life's work as a serial killer for twelve years.</t>
  </si>
  <si>
    <t>https://www.themoviedb.org/movie/398173</t>
  </si>
  <si>
    <t>The Houses October Built (2014)</t>
  </si>
  <si>
    <t>The Houses October Built</t>
  </si>
  <si>
    <t>/yGTHvZE1ggog8w06kqg1HyTANjT.jpg</t>
  </si>
  <si>
    <t>https://image.tmdb.org/t/p/w342/yGTHvZE1ggog8w06kqg1HyTANjT.jpg</t>
  </si>
  <si>
    <t>Beneath the fake blood and cheap masks of countless haunted house attractions across the country, there are whispers of truly terrifying alternatives. Looking to find an authentic, blood-curdling good fright for Halloween, five friends set off on a road trip in an RV to track down these underground Haunts. Just when their search seems to reach a dead end, strange and disturbing things start happening and it becomes clear that the Haunt has come to them…</t>
  </si>
  <si>
    <t>https://www.themoviedb.org/movie/293572</t>
  </si>
  <si>
    <t>The Houses October Built 2 (2017)</t>
  </si>
  <si>
    <t>The Houses October Built 2</t>
  </si>
  <si>
    <t>/9ePD42CjuXgwsFNDl3EC8KRi0XC.jpg</t>
  </si>
  <si>
    <t>https://image.tmdb.org/t/p/w342/9ePD42CjuXgwsFNDl3EC8KRi0XC.jpg</t>
  </si>
  <si>
    <t>Recovering from the trauma of being kidnapped last Halloween by the Blue Skeleton - a group who take "extreme haunt" to another level - five friends decide they must face their fears in order to move on. Heading back out on the road to visit more haunted house attractions, signs of the Blue Skeleton start appearing again and a new terror begins.</t>
  </si>
  <si>
    <t>https://www.themoviedb.org/movie/466344</t>
  </si>
  <si>
    <t>How to Train Your Dragon (2010)</t>
  </si>
  <si>
    <t>How to Train Your Dragon</t>
  </si>
  <si>
    <t>Fantasy, Adventure, Animation, Family</t>
  </si>
  <si>
    <t>/ygGmAO60t8GyqUo9xYeYxSZAR3b.jpg</t>
  </si>
  <si>
    <t>https://image.tmdb.org/t/p/w342/ygGmAO60t8GyqUo9xYeYxSZAR3b.jpg</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</si>
  <si>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</si>
  <si>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https://www.themoviedb.org/movie/10191</t>
  </si>
  <si>
    <t>How to Train Your Dragon 2 (2014)</t>
  </si>
  <si>
    <t>How to Train Your Dragon 2</t>
  </si>
  <si>
    <t>Fantasy, Action, Adventure, Animation, Family</t>
  </si>
  <si>
    <t>/d13Uj86LdbDLrfDoHR5aDOFYyJC.jpg</t>
  </si>
  <si>
    <t>https://image.tmdb.org/t/p/w342/d13Uj86LdbDLrfDoHR5aDOFYyJC.jpg</t>
  </si>
  <si>
    <t>Five years after uniting the dragons and Vikings of Berk, Hiccup and Toothless soar beyond their homeland, charting the vast unknown. During one of their adventures, the pair discover a secret cave that houses hundreds of wild dragons -- and a mysterious dragon rider with a startling connection to Hiccup. And as the ruthless dragon conqueror Drago Bludvist rises to seize control of both dragons and people alike, Hiccup must step into his role as a true leader and, alongside his friends and Toothless, protect Berk from a devastating war.</t>
  </si>
  <si>
    <t>https://www.themoviedb.org/movie/82702</t>
  </si>
  <si>
    <t>How to Train Your Dragon: The Hidden World (2019)</t>
  </si>
  <si>
    <t>How to Train Your Dragon: The Hidden World</t>
  </si>
  <si>
    <t>Animation, Family, Adventure</t>
  </si>
  <si>
    <t>/xvx4Yhf0DVH8G4LzNISpMfFBDy2.jpg</t>
  </si>
  <si>
    <t>https://image.tmdb.org/t/p/w342/xvx4Yhf0DVH8G4LzNISpMfFBDy2.jpg</t>
  </si>
  <si>
    <t>As Hiccup fulfills his dream of creating a peaceful dragon utopia, Toothless’ discovery of an untamed, elusive mate draws the Night Fury away. When danger mounts at home and Hiccup’s reign as village chief is tested, both dragon and rider must make impossible decisions to save their kind.</t>
  </si>
  <si>
    <t>https://www.themoviedb.org/movie/166428</t>
  </si>
  <si>
    <t>The Human Centipede 2: Full Sequence (2011)</t>
  </si>
  <si>
    <t>The Human Centipede 2: Full Sequence</t>
  </si>
  <si>
    <t>/9YEUMnMhIjD5ek4zIqOhLSnTnJS.jpg</t>
  </si>
  <si>
    <t>https://image.tmdb.org/t/p/w342/9YEUMnMhIjD5ek4zIqOhLSnTnJS.jpg</t>
  </si>
  <si>
    <t>Inspired by the fictional Dr. Heiter, disturbed loner Martin dreams of creating a 12-person centipede and sets out to realize his sick fantasy.</t>
  </si>
  <si>
    <t>https://www.themoviedb.org/movie/74997</t>
  </si>
  <si>
    <t>The Human Centipede 3 [Final Sequence] (2015)</t>
  </si>
  <si>
    <t>The Human Centipede 3 [Final Sequence]</t>
  </si>
  <si>
    <t>/xUk5AGcGvybPBvvMqrDPbAFAknD.jpg</t>
  </si>
  <si>
    <t>https://image.tmdb.org/t/p/w342/xUk5AGcGvybPBvvMqrDPbAFAknD.jpg</t>
  </si>
  <si>
    <t>Taking inspiration from The Human Centipede films, the warden of a notorious and troubled prison looks to create a 500-person human centipede as a solution to his problems.</t>
  </si>
  <si>
    <t>https://www.themoviedb.org/movie/94365</t>
  </si>
  <si>
    <t>The Human Centipede [First Sequence] (2009)</t>
  </si>
  <si>
    <t>The Human Centipede [First Sequence]</t>
  </si>
  <si>
    <t>/gMtjxIkEi0hnTV5lPHbgeZ4ZpUZ.jpg</t>
  </si>
  <si>
    <t>https://image.tmdb.org/t/p/w342/gMtjxIkEi0hnTV5lPHbgeZ4ZpUZ.jpg</t>
  </si>
  <si>
    <t>During a stopover in Germany in the middle of a carefree road trip through Europe, two American girls find themselves alone at night when their car breaks down in the woods. Searching for help at a nearby villa, they are wooed into the clutches of a deranged retired surgeon, who has a very disturbed vision.</t>
  </si>
  <si>
    <t>https://www.themoviedb.org/movie/37169</t>
  </si>
  <si>
    <t>The Hunger Games: Mockingjay - Part 1 (2014)</t>
  </si>
  <si>
    <t>The Hunger Games: Mockingjay - Part 1</t>
  </si>
  <si>
    <t>Science Fiction, Adventure, Thriller</t>
  </si>
  <si>
    <t>/4FAA18ZIja70d1Tu5hr5cj2q1sB.jpg</t>
  </si>
  <si>
    <t>https://image.tmdb.org/t/p/w342/4FAA18ZIja70d1Tu5hr5cj2q1sB.jpg</t>
  </si>
  <si>
    <t>After surviving the Quarter Quell, Katniss finds herself in the hidden stronghold of District 13, where the rebellion against the Capitol is gaining momentum. Struggling with the weight of becoming the symbol of resistance, she must navigate fragile alliances while trying to protect those she loves. As propaganda battles rage and Panem moves closer to full-scale war, Katniss is forced to confront the true cost of revolution.</t>
  </si>
  <si>
    <t>https://www.themoviedb.org/movie/131631</t>
  </si>
  <si>
    <t>The Hunger Games: Mockingjay - Part 2 (2015)</t>
  </si>
  <si>
    <t>The Hunger Games: Mockingjay - Part 2</t>
  </si>
  <si>
    <t>Action, Adventure, Science Fiction</t>
  </si>
  <si>
    <t>/lImKHDfExAulp16grYm8zD5eONE.jpg</t>
  </si>
  <si>
    <t>https://image.tmdb.org/t/p/w342/lImKHDfExAulp16grYm8zD5eONE.jpg</t>
  </si>
  <si>
    <t>As the war between the Capitol and the districts reaches its peak, Katniss Everdeen embarks on a perilous mission to liberate Panem and confront President Snow. Joined by a team of trusted allies, she navigates deadly traps, shifting loyalties, and the heavy cost of rebellion, determined to bring freedom to her people and end the Hunger Games once and for all.</t>
  </si>
  <si>
    <t>https://www.themoviedb.org/movie/131634</t>
  </si>
  <si>
    <t>Hush (2016)</t>
  </si>
  <si>
    <t>Hush</t>
  </si>
  <si>
    <t>/zHzBTd502IZf60x8n2g0TB01vPF.jpg</t>
  </si>
  <si>
    <t>https://image.tmdb.org/t/p/w342/zHzBTd502IZf60x8n2g0TB01vPF.jpg</t>
  </si>
  <si>
    <t>A deaf woman is stalked by a psychotic killer in her secluded home.</t>
  </si>
  <si>
    <t>https://www.themoviedb.org/movie/376570</t>
  </si>
  <si>
    <t>Infinity Pool (2023)</t>
  </si>
  <si>
    <t>Infinity Pool</t>
  </si>
  <si>
    <t>/cQKyNm0Nz6KWiDBQF9w4aZAmOfC.jpg</t>
  </si>
  <si>
    <t>https://image.tmdb.org/t/p/w342/cQKyNm0Nz6KWiDBQF9w4aZAmOfC.jpg</t>
  </si>
  <si>
    <t>While staying at an isolated island resort, James and Em are enjoying a perfect vacation of pristine beaches, exceptional staff, and soaking up the sun. But guided by the seductive and mysterious Gabi, they venture outside the resort grounds and find themselves in a culture filled with violence, hedonism, and untold horror. A tragic accident leaves them facing a zero tolerance policy for crime: either you'll be executed, or, if you’re rich enough to afford it, you can watch yourself die instead.</t>
  </si>
  <si>
    <t>https://www.themoviedb.org/movie/667216</t>
  </si>
  <si>
    <t>Inside (2007)</t>
  </si>
  <si>
    <t>Inside</t>
  </si>
  <si>
    <t>/7gPOYKxoBzhfC8cLNMU3CKgURcm.jpg</t>
  </si>
  <si>
    <t>https://image.tmdb.org/t/p/w342/7gPOYKxoBzhfC8cLNMU3CKgURcm.jpg</t>
  </si>
  <si>
    <t>Scarred for life after a harrowing near-death experience, emotionally fragile mother-to-be Sarah is still struggling to come to terms with her loss. Overcome with silent grief, Sarah now seeks solace in work; however, she is on a collision course with sheer terror when a knock at the door in the dead of night chills her bones to the marrow. Now, the raven-haired, late-night visitor in black wants something precious from Sarah, and will stop at nothing to get it.</t>
  </si>
  <si>
    <t>https://www.themoviedb.org/movie/13312</t>
  </si>
  <si>
    <t>Insidious: Chapter 2 (2013)</t>
  </si>
  <si>
    <t>Insidious: Chapter 2</t>
  </si>
  <si>
    <t>/w5JjiB3O1CLDXbTJe1QpU5RHmlU.jpg</t>
  </si>
  <si>
    <t>https://image.tmdb.org/t/p/w342/w5JjiB3O1CLDXbTJe1QpU5RHmlU.jpg</t>
  </si>
  <si>
    <t>The haunted Lambert family seeks to uncover the mysterious childhood secret that has left them dangerously connected to the spirit world.</t>
  </si>
  <si>
    <t>https://www.themoviedb.org/movie/91586</t>
  </si>
  <si>
    <t>Insidious: Chapter 3 (2015)</t>
  </si>
  <si>
    <t>Insidious: Chapter 3</t>
  </si>
  <si>
    <t>/iDdGfdNvY1EX0uDdA4Ru77fwMfc.jpg</t>
  </si>
  <si>
    <t>https://image.tmdb.org/t/p/w342/iDdGfdNvY1EX0uDdA4Ru77fwMfc.jpg</t>
  </si>
  <si>
    <t>A twisted new tale of terror begins for a teenage girl and her family, and revealing more mysteries of the otherworldly realm, 'The Further'.</t>
  </si>
  <si>
    <t>https://www.themoviedb.org/movie/280092</t>
  </si>
  <si>
    <t>Interstellar (2014)</t>
  </si>
  <si>
    <t>Interstellar</t>
  </si>
  <si>
    <t>Adventure, Drama, Science Fiction</t>
  </si>
  <si>
    <t>/yQvGrMoipbRoddT0ZR8tPoR7NfX.jpg</t>
  </si>
  <si>
    <t>https://image.tmdb.org/t/p/w342/yQvGrMoipbRoddT0ZR8tPoR7NfX.jpg</t>
  </si>
  <si>
    <t>The adventures of a group of explorers who make use of a newly discovered wormhole to surpass the limitations on human space travel and conquer the vast distances involved in an interstellar voyage.</t>
  </si>
  <si>
    <t>https://www.themoviedb.org/movie/157336</t>
  </si>
  <si>
    <t>It (2017)</t>
  </si>
  <si>
    <t>It</t>
  </si>
  <si>
    <t>Horror, Thriller, Drama</t>
  </si>
  <si>
    <t>/9E2y5Q7WlCVNEhP5GiVTjhEhx1o.jpg</t>
  </si>
  <si>
    <t>https://image.tmdb.org/t/p/w342/9E2y5Q7WlCVNEhP5GiVTjhEhx1o.jpg</t>
  </si>
  <si>
    <t>In a small town in Maine, seven children known as The Losers Club come face to face with life problems, bullies and a monster that takes the shape of a clown called Pennywise.</t>
  </si>
  <si>
    <t>https://www.themoviedb.org/movie/346364</t>
  </si>
  <si>
    <t>It Follows (2014)</t>
  </si>
  <si>
    <t>It Follows</t>
  </si>
  <si>
    <t>/iwnQ1JH1wdWrGYkgWySptJ5284A.jpg</t>
  </si>
  <si>
    <t>https://image.tmdb.org/t/p/w342/iwnQ1JH1wdWrGYkgWySptJ5284A.jpg</t>
  </si>
  <si>
    <t>A young woman is followed by an unknown supernatural force after a sexual encounter.</t>
  </si>
  <si>
    <t>https://www.themoviedb.org/movie/270303</t>
  </si>
  <si>
    <t>It: Chapter Two (2019)</t>
  </si>
  <si>
    <t>It: Chapter Two</t>
  </si>
  <si>
    <t>/zfE0R94v1E8cuKAerbskfD3VfUt.jpg</t>
  </si>
  <si>
    <t>https://image.tmdb.org/t/p/w342/zfE0R94v1E8cuKAerbskfD3VfUt.jpg</t>
  </si>
  <si>
    <t>27 years after overcoming the malevolent supernatural entity Pennywise, the former members of the Losers' Club, who have grown up and moved away from Derry, are brought back together by a devastating phone call.</t>
  </si>
  <si>
    <t>https://www.themoviedb.org/movie/474350</t>
  </si>
  <si>
    <t>Jarhead (2005)</t>
  </si>
  <si>
    <t>Jarhead</t>
  </si>
  <si>
    <t>Drama, War</t>
  </si>
  <si>
    <t>/6vdj47RAWOUZBkeQmqToeZ7eaio.jpg</t>
  </si>
  <si>
    <t>https://image.tmdb.org/t/p/w342/6vdj47RAWOUZBkeQmqToeZ7eaio.jpg</t>
  </si>
  <si>
    <t>Jarhead is a film about a US Marine Anthony Swofford’s experience in the Gulf War. After putting up with an arduous boot camp, Swofford and his unit are sent to the Persian Gulf where they are eager to fight, but are forced to stay back from the action. Swofford struggles with the possibility of his girlfriend cheating on him, and as his mental state deteriorates, his desire to kill increases.</t>
  </si>
  <si>
    <t>https://www.themoviedb.org/movie/25</t>
  </si>
  <si>
    <t>Jason Goes to Hell: The Final Friday (1993)</t>
  </si>
  <si>
    <t>Jason Goes to Hell: The Final Friday</t>
  </si>
  <si>
    <t>/Aacq05foqiWdXqetFv02HBvMoJy.jpg</t>
  </si>
  <si>
    <t>https://image.tmdb.org/t/p/w342/Aacq05foqiWdXqetFv02HBvMoJy.jpg</t>
  </si>
  <si>
    <t>Jason Voorhees is tracked down and blown to bits by a special FBI task force, reborn with the bone-chilling ability to assume the identity of anyone he touches.</t>
  </si>
  <si>
    <t>https://www.themoviedb.org/movie/10285</t>
  </si>
  <si>
    <t>Jason X (2001)</t>
  </si>
  <si>
    <t>Jason X</t>
  </si>
  <si>
    <t>/ggOND0hfoE0f3K857joSzEeIchb.jpg</t>
  </si>
  <si>
    <t>https://image.tmdb.org/t/p/w342/ggOND0hfoE0f3K857joSzEeIchb.jpg</t>
  </si>
  <si>
    <t>In the year 2455, Old Earth is now a contaminated planet abandoned for centuries -- a brown world of violent storms, toxic landmasses and poisonous seas. Yet humans have returned to the deadly place that they once fled, not to live, but to research the ancient, rusting artifacts of the long-gone civilizations. But it's not the harmful environment that could prove fatal to the intrepid, young explorers who have just landed on Old Earth. For them, it's Friday the 13th, and Jason lives!</t>
  </si>
  <si>
    <t>https://www.themoviedb.org/movie/11470</t>
  </si>
  <si>
    <t>Jaws (1975)</t>
  </si>
  <si>
    <t>Jaws</t>
  </si>
  <si>
    <t>Horror, Thriller, Adventure</t>
  </si>
  <si>
    <t>/lxM6kqilAdpdhqUl2biYp5frUxE.jpg</t>
  </si>
  <si>
    <t>https://image.tmdb.org/t/p/w342/lxM6kqilAdpdhqUl2biYp5frUxE.jpg</t>
  </si>
  <si>
    <t>When the seaside community of Amity finds itself under attack by a dangerous great white shark, the town's chief of police, a young marine biologist, and a grizzled shark hunter embark on a desperate quest to kill the beast before it strikes again.</t>
  </si>
  <si>
    <t>https://www.themoviedb.org/movie/578</t>
  </si>
  <si>
    <t>Jay and Silent Bob Strike Back (2001)</t>
  </si>
  <si>
    <t>Jay and Silent Bob Strike Back</t>
  </si>
  <si>
    <t>Comedy, Adventure, Action</t>
  </si>
  <si>
    <t>/aEsAdMAhwKYFgnHHxMOknktQYKK.jpg</t>
  </si>
  <si>
    <t>https://image.tmdb.org/t/p/w342/aEsAdMAhwKYFgnHHxMOknktQYKK.jpg</t>
  </si>
  <si>
    <t>When Jay and Silent Bob learn that their comic-book alter egos, Bluntman and Chronic, have been sold to Hollywood as part of a big-screen movie that leaves them out of any royalties, the pair travels to Tinseltown to sabotage the production.</t>
  </si>
  <si>
    <t>https://www.themoviedb.org/movie/2294</t>
  </si>
  <si>
    <t>Jeepers Creepers (2001)</t>
  </si>
  <si>
    <t>Jeepers Creepers</t>
  </si>
  <si>
    <t>/g410Y1U1ELbmJG14Zru3UAimm1G.jpg</t>
  </si>
  <si>
    <t>https://image.tmdb.org/t/p/w342/g410Y1U1ELbmJG14Zru3UAimm1G.jpg</t>
  </si>
  <si>
    <t>On a desolate country highway, two homeward-bound teens are nearly run off the road by a maniac in a beat-up truck, and later spot him shoving what appears to be a body down a sewer pipe.</t>
  </si>
  <si>
    <t>https://www.themoviedb.org/movie/8922</t>
  </si>
  <si>
    <t>Jeepers Creepers 2 (2003)</t>
  </si>
  <si>
    <t>Jeepers Creepers 2</t>
  </si>
  <si>
    <t>/u2ghDfjcs3y5c8ata3COc4pWiAN.jpg</t>
  </si>
  <si>
    <t>https://image.tmdb.org/t/p/w342/u2ghDfjcs3y5c8ata3COc4pWiAN.jpg</t>
  </si>
  <si>
    <t>When their bus is crippled on the side of a deserted road, a team of high school athletes discover an opponent they cannot defeat – and may not survive.</t>
  </si>
  <si>
    <t>https://www.themoviedb.org/movie/11351</t>
  </si>
  <si>
    <t>Jigsaw (2017)</t>
  </si>
  <si>
    <t>Jigsaw</t>
  </si>
  <si>
    <t>/7RwHxhdUNS996JPFNB9a7CJtlwR.jpg</t>
  </si>
  <si>
    <t>https://image.tmdb.org/t/p/w342/7RwHxhdUNS996JPFNB9a7CJtlwR.jpg</t>
  </si>
  <si>
    <t>Law enforcement finds itself chasing the ghost of a man dead for over a decade, embroiled in a diabolical new game that's only just begun.</t>
  </si>
  <si>
    <t>https://www.themoviedb.org/movie/298250</t>
  </si>
  <si>
    <t>John Wick (2014)</t>
  </si>
  <si>
    <t>John Wick</t>
  </si>
  <si>
    <t>/wXqWR7dHncNRbxoEGybEy7QTe9h.jpg</t>
  </si>
  <si>
    <t>https://image.tmdb.org/t/p/w342/wXqWR7dHncNRbxoEGybEy7QTe9h.jpg</t>
  </si>
  <si>
    <t>Ex-hitman John Wick comes out of retirement to track down the gangsters that took everything from him.</t>
  </si>
  <si>
    <t>https://www.themoviedb.org/movie/245891</t>
  </si>
  <si>
    <t>John Wick: Chapter 2 (2017)</t>
  </si>
  <si>
    <t>John Wick: Chapter 2</t>
  </si>
  <si>
    <t>Action, Thriller, Crime</t>
  </si>
  <si>
    <t>/hXWBc0ioZP3cN4zCu6SN3YHXZVO.jpg</t>
  </si>
  <si>
    <t>https://image.tmdb.org/t/p/w342/hXWBc0ioZP3cN4zCu6SN3YHXZVO.jpg</t>
  </si>
  <si>
    <t>John Wick is forced out of retirement by a former associate looking to seize control of a shadowy international assassins’ guild. Bound by a blood oath to aid him, Wick travels to Rome and does battle against some of the world’s most dangerous killers.</t>
  </si>
  <si>
    <t>https://www.themoviedb.org/movie/324552</t>
  </si>
  <si>
    <t>John Wick: Chapter 3 - Parabellum (2019)</t>
  </si>
  <si>
    <t>John Wick: Chapter 3 - Parabellum</t>
  </si>
  <si>
    <t>/ziEuG1essDuWuC5lpWUaw1uXY2O.jpg</t>
  </si>
  <si>
    <t>https://image.tmdb.org/t/p/w342/ziEuG1essDuWuC5lpWUaw1uXY2O.jpg</t>
  </si>
  <si>
    <t>Super-assassin John Wick returns with a $14 million price tag on his head and an army of bounty-hunting killers on his trail. After killing a member of the shadowy international assassin’s guild, the High Table, John Wick is excommunicado, but the world’s most ruthless hit men and women await his every turn.</t>
  </si>
  <si>
    <t>https://www.themoviedb.org/movie/458156</t>
  </si>
  <si>
    <t>John Wick: Chapter 4 (2023)</t>
  </si>
  <si>
    <t>John Wick: Chapter 4</t>
  </si>
  <si>
    <t>/vZloFAK7NmvMGKE7VkF5UHaz0I.jpg</t>
  </si>
  <si>
    <t>https://image.tmdb.org/t/p/w342/vZloFAK7NmvMGKE7VkF5UHaz0I.jpg</t>
  </si>
  <si>
    <t>With the price on his head ever increasing, John Wick uncovers a path to defeating The High Table. But before he can earn his freedom, Wick must face off against a new enemy with powerful alliances across the globe and forces that turn old friends into foes.</t>
  </si>
  <si>
    <t>https://www.themoviedb.org/movie/603692</t>
  </si>
  <si>
    <t>Ju-on: The Grudge (2002)</t>
  </si>
  <si>
    <t>Ju-on: The Grudge</t>
  </si>
  <si>
    <t>/6q1hlBC6rudc3mHwXsbMBR2xAT6.jpg</t>
  </si>
  <si>
    <t>https://image.tmdb.org/t/p/w342/6q1hlBC6rudc3mHwXsbMBR2xAT6.jpg</t>
  </si>
  <si>
    <t>When a social worker is sent to check on a traumatized elderly woman whose family have moved in at the site of a notorious murder case, she unwittingly unleashes a cycle of terror that transmits via its victims.</t>
  </si>
  <si>
    <t>https://www.themoviedb.org/movie/11838</t>
  </si>
  <si>
    <t>Jurassic Park (1993)</t>
  </si>
  <si>
    <t>Jurassic Park</t>
  </si>
  <si>
    <t>Adventure, Science Fiction</t>
  </si>
  <si>
    <t>/maFjKnJ62hDQ9E66dKqDZgbUy0H.jpg</t>
  </si>
  <si>
    <t>https://image.tmdb.org/t/p/w342/maFjKnJ62hDQ9E66dKqDZgbUy0H.jpg</t>
  </si>
  <si>
    <t>A wealthy entrepreneur secretly creates a theme park featuring living dinosaurs drawn from prehistoric DNA. Before opening day, he invites a team of experts and his two eager grandchildren to experience the park and help calm anxious investors. However, the park is anything but amusing as the security systems go off-line and the dinosaurs escape.</t>
  </si>
  <si>
    <t>https://www.themoviedb.org/movie/329</t>
  </si>
  <si>
    <t>Jurassic Park III (2001)</t>
  </si>
  <si>
    <t>Jurassic Park III</t>
  </si>
  <si>
    <t>Adventure, Thriller, Science Fiction</t>
  </si>
  <si>
    <t>/oQXj4NUfS3r3gHXtDOzcJgj1lLc.jpg</t>
  </si>
  <si>
    <t>https://image.tmdb.org/t/p/w342/oQXj4NUfS3r3gHXtDOzcJgj1lLc.jpg</t>
  </si>
  <si>
    <t>In need of funds for research, Dr. Alan Grant accepts a large sum of money to accompany Paul and Amanda Kirby on an aerial tour of the infamous Isla Sorna. It isn't long before all hell breaks loose and the stranded wayfarers must fight for survival as a host of new -- and even more deadly -- dinosaurs try to make snacks of them.</t>
  </si>
  <si>
    <t>https://www.themoviedb.org/movie/331</t>
  </si>
  <si>
    <t>Jurassic World (2015)</t>
  </si>
  <si>
    <t>Jurassic World</t>
  </si>
  <si>
    <t>/rhr4y79GpxQF9IsfJItRXVaoGs4.jpg</t>
  </si>
  <si>
    <t>https://image.tmdb.org/t/p/w342/rhr4y79GpxQF9IsfJItRXVaoGs4.jpg</t>
  </si>
  <si>
    <t>Twenty-two years after the events of Jurassic Park, Isla Nublar now features a fully functioning dinosaur theme park, Jurassic World, as originally envisioned by John Hammond.</t>
  </si>
  <si>
    <t>https://www.themoviedb.org/movie/135397</t>
  </si>
  <si>
    <t>Jurassic World: Dominion (2022)</t>
  </si>
  <si>
    <t>Jurassic World: Dominion</t>
  </si>
  <si>
    <t>Adventure, Science Fiction, Thriller</t>
  </si>
  <si>
    <t>/jbAvCACjLf1ZG0unB2tdmx5HAf1.jpg</t>
  </si>
  <si>
    <t>https://image.tmdb.org/t/p/w342/jbAvCACjLf1ZG0unB2tdmx5HAf1.jpg</t>
  </si>
  <si>
    <t>Four years after Isla Nublar was destroyed, dinosaurs now live—and hunt—alongside humans all over the world. This fragile balance will reshape the future and determine, once and for all, whether human beings are to remain the apex predators on a planet they now share with history's most fearsome creatures.</t>
  </si>
  <si>
    <t>https://www.themoviedb.org/movie/507086</t>
  </si>
  <si>
    <t>Jurassic World: Fallen Kingdom (2018)</t>
  </si>
  <si>
    <t>Jurassic World: Fallen Kingdom</t>
  </si>
  <si>
    <t>/x2Us3jR6ToMJjbcPbLimYoxf6xr.jpg</t>
  </si>
  <si>
    <t>https://image.tmdb.org/t/p/w342/x2Us3jR6ToMJjbcPbLimYoxf6xr.jpg</t>
  </si>
  <si>
    <t>Three years after Jurassic World was destroyed, Isla Nublar now sits abandoned. When the island's dormant volcano begins roaring to life, Owen and Claire mount a campaign to rescue the remaining dinosaurs from this extinction-level event.</t>
  </si>
  <si>
    <t>https://www.themoviedb.org/movie/351286</t>
  </si>
  <si>
    <t>Jurassic World: Rebirth (2025)</t>
  </si>
  <si>
    <t>Jurassic World: Rebirth</t>
  </si>
  <si>
    <t>Science Fiction, Adventure, Action</t>
  </si>
  <si>
    <t>/1RICxzeoNCAO5NpcRMIgg1XT6fm.jpg</t>
  </si>
  <si>
    <t>https://image.tmdb.org/t/p/w342/1RICxzeoNCAO5NpcRMIgg1XT6fm.jpg</t>
  </si>
  <si>
    <t>Five years after the events of Jurassic World Dominion, covert operations expert Zora Bennett is contracted to lead a skilled team on a top-secret mission to secure genetic material from the world's three most massive dinosaurs. When Zora's operation intersects with a civilian family whose boating expedition was capsized, they all find themselves stranded on an island where they come face-to-face with a sinister, shocking discovery that's been hidden from the world for decades.</t>
  </si>
  <si>
    <t>https://www.themoviedb.org/movie/1234821</t>
  </si>
  <si>
    <t>Kick-Ass (2010)</t>
  </si>
  <si>
    <t>Kick-Ass</t>
  </si>
  <si>
    <t>Action, Crime</t>
  </si>
  <si>
    <t>/iHMbrTHJwocsNvo5murCBw0CwTo.jpg</t>
  </si>
  <si>
    <t>https://image.tmdb.org/t/p/w342/iHMbrTHJwocsNvo5murCBw0CwTo.jpg</t>
  </si>
  <si>
    <t>Dave Lizewski is an unnoticed high school student and comic book fan who one day decides to become a super-hero, even though he has no powers, training or meaningful reason to do so.</t>
  </si>
  <si>
    <t>https://www.themoviedb.org/movie/23483</t>
  </si>
  <si>
    <t>Kick-Ass 2 (2013)</t>
  </si>
  <si>
    <t>Kick-Ass 2</t>
  </si>
  <si>
    <t>Action, Adventure, Crime</t>
  </si>
  <si>
    <t>/1go2A3gdQjaMuHWquybgoJlQRcX.jpg</t>
  </si>
  <si>
    <t>https://image.tmdb.org/t/p/w342/1go2A3gdQjaMuHWquybgoJlQRcX.jpg</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</si>
  <si>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</si>
  <si>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https://www.themoviedb.org/movie/59859</t>
  </si>
  <si>
    <t>King Kong (2005)</t>
  </si>
  <si>
    <t>King Kong</t>
  </si>
  <si>
    <t>Adventure, Drama, Action</t>
  </si>
  <si>
    <t>/6a2HY6UmD7XiDD3NokgaBAXEsD2.jpg</t>
  </si>
  <si>
    <t>https://image.tmdb.org/t/p/w342/6a2HY6UmD7XiDD3NokgaBAXEsD2.jpg</t>
  </si>
  <si>
    <t>In 1933 New York, an overly ambitious movie producer coerces his cast and hired ship crew to travel to mysterious Skull Island, where they encounter Kong, a giant ape who is immediately smitten with the leading lady.</t>
  </si>
  <si>
    <t>https://www.themoviedb.org/movie/254</t>
  </si>
  <si>
    <t>Knowing (2009)</t>
  </si>
  <si>
    <t>Knowing</t>
  </si>
  <si>
    <t>Action, Mystery, Science Fiction, Thriller</t>
  </si>
  <si>
    <t>/OG0mxQt4YaNIWiz8EKJSHe9lPh.jpg</t>
  </si>
  <si>
    <t>https://image.tmdb.org/t/p/w342/OG0mxQt4YaNIWiz8EKJSHe9lPh.jpg</t>
  </si>
  <si>
    <t>A teacher opens a time capsule that has been dug up at his son's elementary school; in it are some chilling predictions -- some that have already occurred and others that are about to -- that lead him to believe his family plays a role in the events that are about to unfold.</t>
  </si>
  <si>
    <t>https://www.themoviedb.org/movie/13811</t>
  </si>
  <si>
    <t>Kong: Skull Island (2017)</t>
  </si>
  <si>
    <t>Kong: Skull Island</t>
  </si>
  <si>
    <t>/r2517Vz9EhDhj88qwbDVj8DCRZN.jpg</t>
  </si>
  <si>
    <t>https://image.tmdb.org/t/p/w342/r2517Vz9EhDhj88qwbDVj8DCRZN.jpg</t>
  </si>
  <si>
    <t>Explore the mysterious and dangerous home of the king of the apes as a team of explorers ventures deep inside the treacherous, primordial island.</t>
  </si>
  <si>
    <t>https://www.themoviedb.org/movie/293167</t>
  </si>
  <si>
    <t>Krampus (2015)</t>
  </si>
  <si>
    <t>Krampus</t>
  </si>
  <si>
    <t>/mzPCU6xQ2XQmD76cDVZPm5PZAaS.jpg</t>
  </si>
  <si>
    <t>https://image.tmdb.org/t/p/w342/mzPCU6xQ2XQmD76cDVZPm5PZAaS.jpg</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</si>
  <si>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</si>
  <si>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https://www.themoviedb.org/movie/287903</t>
  </si>
  <si>
    <t>Labyrinth (1986)</t>
  </si>
  <si>
    <t>Labyrinth</t>
  </si>
  <si>
    <t>Adventure, Family, Fantasy</t>
  </si>
  <si>
    <t>/hbSdA1DmNA9IlfVoqJkIWYF2oYm.jpg</t>
  </si>
  <si>
    <t>https://image.tmdb.org/t/p/w342/hbSdA1DmNA9IlfVoqJkIWYF2oYm.jpg</t>
  </si>
  <si>
    <t>Frustrated with babysitting on yet another weekend night, Sarah, a teenager with an active imagination, summons the Goblins to take her baby stepbrother away. When little Toby actually disappears, Sarah must follow him into a fantastical world to rescue him from the Goblin King. Guarding his castle is the labyrinth itself, a twisted maze of deception, populated with outrageous characters and unknown dangers.</t>
  </si>
  <si>
    <t>https://www.themoviedb.org/movie/13597</t>
  </si>
  <si>
    <t>Lake Mungo (2008)</t>
  </si>
  <si>
    <t>Lake Mungo</t>
  </si>
  <si>
    <t>/g0zCELYfBfSv8TOGC13buABVN53.jpg</t>
  </si>
  <si>
    <t>https://image.tmdb.org/t/p/w342/g0zCELYfBfSv8TOGC13buABVN53.jpg</t>
  </si>
  <si>
    <t>After 16-year-old Alice Palmer drowns at a local dam, her family experiences a series of strange, inexplicable events centered in and around their home. Unsettled, the Palmers seek the help of a psychic and parapsychologist, who discovers that Alice led a secret, double life. At Lake Mungo, Alice's secret past emerges.</t>
  </si>
  <si>
    <t>https://www.themoviedb.org/movie/27374</t>
  </si>
  <si>
    <t>Land of the Dead (2005)</t>
  </si>
  <si>
    <t>Land of the Dead</t>
  </si>
  <si>
    <t>/xxp0qcZ3n2YA53SIzWilDSfIaA4.jpg</t>
  </si>
  <si>
    <t>https://image.tmdb.org/t/p/w342/xxp0qcZ3n2YA53SIzWilDSfIaA4.jpg</t>
  </si>
  <si>
    <t>The living dead have taken over the world, and the remaining humans live in a walled city to protect themselves as they cope with the situation.</t>
  </si>
  <si>
    <t>https://www.themoviedb.org/movie/11683</t>
  </si>
  <si>
    <t>The Last House on the Left (2009)</t>
  </si>
  <si>
    <t>The Last House on the Left</t>
  </si>
  <si>
    <t>Crime, Thriller, Horror, Drama</t>
  </si>
  <si>
    <t>/2Y35XCUS8U8vC8vs0HDEVkPu1BM.jpg</t>
  </si>
  <si>
    <t>https://image.tmdb.org/t/p/w342/2Y35XCUS8U8vC8vs0HDEVkPu1BM.jpg</t>
  </si>
  <si>
    <t>When athletic teen Mari Collingwood opts to hang out with her friend Paige in town rather than spend an evening in with her parents vacationing at the family's remote lake house, it marks the beginning of a night no one is going to forget.</t>
  </si>
  <si>
    <t>https://www.themoviedb.org/movie/18405</t>
  </si>
  <si>
    <t>Lights Out (2016)</t>
  </si>
  <si>
    <t>Lights Out</t>
  </si>
  <si>
    <t>/8BnElzAQQpp7ZgdJJiAe1diomr4.jpg</t>
  </si>
  <si>
    <t>https://image.tmdb.org/t/p/w342/8BnElzAQQpp7ZgdJJiAe1diomr4.jpg</t>
  </si>
  <si>
    <t>Rebecca must unlock the terror behind her little brother's experiences that once tested her sanity, bringing her face to face with a supernatural spirit attached to their mother.</t>
  </si>
  <si>
    <t>https://www.themoviedb.org/movie/345911</t>
  </si>
  <si>
    <t>The Lord of the Rings: The Fellowship of the Ring (2001)</t>
  </si>
  <si>
    <t>The Lord of the Rings: The Fellowship of the Ring</t>
  </si>
  <si>
    <t>/6oom5QYQ2yQTMJIbnvbkBL9cHo6.jpg</t>
  </si>
  <si>
    <t>https://image.tmdb.org/t/p/w342/6oom5QYQ2yQTMJIbnvbkBL9cHo6.jpg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</si>
  <si>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</si>
  <si>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https://www.themoviedb.org/movie/120</t>
  </si>
  <si>
    <t>The Lord of the Rings: The Return of the King (2003)</t>
  </si>
  <si>
    <t>The Lord of the Rings: The Return of the King</t>
  </si>
  <si>
    <t>/rCzpDGLbOoPwLjy3OAm5NUPOTrC.jpg</t>
  </si>
  <si>
    <t>https://image.tmdb.org/t/p/w342/rCzpDGLbOoPwLjy3OAm5NUPOTrC.jpg</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</si>
  <si>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t>
  </si>
  <si>
    <t>https://www.themoviedb.org/movie/122</t>
  </si>
  <si>
    <t>The Lord of the Rings: The Two Towers (2002)</t>
  </si>
  <si>
    <t>The Lord of the Rings: The Two Towers</t>
  </si>
  <si>
    <t>/5VTN0pR8gcqV3EPUHHfMGnJYN9L.jpg</t>
  </si>
  <si>
    <t>https://image.tmdb.org/t/p/w342/5VTN0pR8gcqV3EPUHHfMGnJYN9L.jpg</t>
  </si>
  <si>
    <t>Frodo Baggins and the other members of the Fellowship continue on their sacred quest to destroy the One Ring--but on separate paths. Their destinies lie at two towers--Orthanc Tower in Isengard, where the corrupt wizard Saruman awaits, and Sauron's fortress at Barad-dur, deep within the dark lands of Mordor. Frodo and Sam are trekking to Mordor to destroy the One Ring of Power while Gimli, Legolas and Aragorn search for the orc-captured Merry and Pippin. All along, nefarious wizard Saruman awaits the Fellowship members at the Orthanc Tower in Isengard.</t>
  </si>
  <si>
    <t>https://www.themoviedb.org/movie/121</t>
  </si>
  <si>
    <t>The Lost World: Jurassic Park (1997)</t>
  </si>
  <si>
    <t>The Lost World: Jurassic Park</t>
  </si>
  <si>
    <t>Adventure, Action, Science Fiction</t>
  </si>
  <si>
    <t>/6fSkhv35nPSw9hwPVCMINQFG1WD.jpg</t>
  </si>
  <si>
    <t>https://image.tmdb.org/t/p/w342/6fSkhv35nPSw9hwPVCMINQFG1WD.jpg</t>
  </si>
  <si>
    <t>Four years after Jurassic Park's genetically bred dinosaurs ran amok, multimillionaire John Hammond shocks chaos theorist Ian Malcolm by revealing that he has been breeding more beasties at a secret location. Malcolm, his paleontologist ladylove and a wildlife videographer join an expedition to document the lethal lizards' natural behavior in this action-packed thriller.</t>
  </si>
  <si>
    <t>https://www.themoviedb.org/movie/330</t>
  </si>
  <si>
    <t>M3GAN (2022)</t>
  </si>
  <si>
    <t>M3GAN</t>
  </si>
  <si>
    <t>Science Fiction, Horror</t>
  </si>
  <si>
    <t>/d9nBoowhjiiYc4FBNtQkPY7c11H.jpg</t>
  </si>
  <si>
    <t>https://image.tmdb.org/t/p/w342/d9nBoowhjiiYc4FBNtQkPY7c11H.jpg</t>
  </si>
  <si>
    <t>A brilliant toy company roboticist uses artificial intelligence to develop M3GAN, a life-like doll programmed to emotionally bond with her newly orphaned niece. But when the doll's programming works too well, she becomes overprotective of her new friend with terrifying results.</t>
  </si>
  <si>
    <t>https://www.themoviedb.org/movie/536554</t>
  </si>
  <si>
    <t>Maleficent: Mistress of Evil (2019)</t>
  </si>
  <si>
    <t>Maleficent: Mistress of Evil</t>
  </si>
  <si>
    <t>Family, Fantasy, Adventure</t>
  </si>
  <si>
    <t>/vloNTScJ3w7jwNwtNGoG8DbTThv.jpg</t>
  </si>
  <si>
    <t>https://image.tmdb.org/t/p/w342/vloNTScJ3w7jwNwtNGoG8DbTThv.jpg</t>
  </si>
  <si>
    <t>Maleficent and her goddaughter Aurora begin to question the complex family ties that bind them as they are pulled in different directions by impending nuptials, unexpected allies, and dark new forces at play.</t>
  </si>
  <si>
    <t>https://www.themoviedb.org/movie/420809</t>
  </si>
  <si>
    <t>Malignant (2021)</t>
  </si>
  <si>
    <t>Malignant</t>
  </si>
  <si>
    <t>/dGv2BWjzwAz6LB8a8JeRIZL8hSz.jpg</t>
  </si>
  <si>
    <t>https://image.tmdb.org/t/p/w342/dGv2BWjzwAz6LB8a8JeRIZL8hSz.jpg</t>
  </si>
  <si>
    <t>Madison is paralyzed by shocking visions of grisly murders, and her torment worsens as she discovers that these waking dreams are in fact terrifying realities with a mysterious tie to her past.</t>
  </si>
  <si>
    <t>https://www.themoviedb.org/movie/619778</t>
  </si>
  <si>
    <t>Martyrs (2008)</t>
  </si>
  <si>
    <t>Martyrs</t>
  </si>
  <si>
    <t>Horror, Drama, Thriller</t>
  </si>
  <si>
    <t>/sT5ITTlTcnPOeFzHEu5j0hTZUvD.jpg</t>
  </si>
  <si>
    <t>https://image.tmdb.org/t/p/w342/sT5ITTlTcnPOeFzHEu5j0hTZUvD.jpg</t>
  </si>
  <si>
    <t>A young woman’s quest for revenge against the people who kidnapped and tortured her as a child leads her and her best friend, also a victim of child abuse, on a terrifying journey into a living hell of depravity.</t>
  </si>
  <si>
    <t>https://www.themoviedb.org/movie/9539</t>
  </si>
  <si>
    <t>The Matrix (1999)</t>
  </si>
  <si>
    <t>The Matrix</t>
  </si>
  <si>
    <t>Action, Science Fiction</t>
  </si>
  <si>
    <t>/aOIuZAjPaRIE6CMzbazvcHuHXDc.jpg</t>
  </si>
  <si>
    <t>https://image.tmdb.org/t/p/w342/aOIuZAjPaRIE6CMzbazvcHuHXDc.jpg</t>
  </si>
  <si>
    <t>Set in the 22nd century, The Matrix tells the story of a computer hacker who joins a group of underground insurgents fighting the vast and powerful computers who now rule the earth.</t>
  </si>
  <si>
    <t>https://www.themoviedb.org/movie/603</t>
  </si>
  <si>
    <t>The Matrix Reloaded (2003)</t>
  </si>
  <si>
    <t>The Matrix Reloaded</t>
  </si>
  <si>
    <t>Adventure, Action, Thriller, Science Fiction</t>
  </si>
  <si>
    <t>/aA5qHS0FbSXO8PxcxUIHbDrJyuh.jpg</t>
  </si>
  <si>
    <t>https://image.tmdb.org/t/p/w342/aA5qHS0FbSXO8PxcxUIHbDrJyuh.jpg</t>
  </si>
  <si>
    <t>The Resistance builds in numbers as humans are freed from the Matrix and brought to the city of Zion. Neo discovers his superpowers, including the ability to see the code inside the Matrix. With machine sentinels digging to Zion in 72 hours, Neo, Morpheus and Trinity must find the Keymaker to ultimately reach the Source.</t>
  </si>
  <si>
    <t>https://www.themoviedb.org/movie/604</t>
  </si>
  <si>
    <t>The Matrix Resurrections (2021)</t>
  </si>
  <si>
    <t>The Matrix Resurrections</t>
  </si>
  <si>
    <t>Science Fiction, Action, Adventure</t>
  </si>
  <si>
    <t>/8c4a8kE7PizaGQQnditMmI1xbRp.jpg</t>
  </si>
  <si>
    <t>https://image.tmdb.org/t/p/w342/8c4a8kE7PizaGQQnditMmI1xbRp.jpg</t>
  </si>
  <si>
    <t>Plagued by strange memories, Neo's life takes an unexpected turn when he finds himself back inside the Matrix.</t>
  </si>
  <si>
    <t>https://www.themoviedb.org/movie/624860</t>
  </si>
  <si>
    <t>The Matrix Revolutions (2003)</t>
  </si>
  <si>
    <t>The Matrix Revolutions</t>
  </si>
  <si>
    <t>/bkkS61w94ZVMNVd8KEyyJl2tnY5.jpg</t>
  </si>
  <si>
    <t>https://image.tmdb.org/t/p/w342/bkkS61w94ZVMNVd8KEyyJl2tnY5.jpg</t>
  </si>
  <si>
    <t>The human city of Zion defends itself against the massive invasion of the machines as Neo fights to end the war at another front while also opposing the rogue Agent Smith.</t>
  </si>
  <si>
    <t>https://www.themoviedb.org/movie/605</t>
  </si>
  <si>
    <t>MaXXXine (2024)</t>
  </si>
  <si>
    <t>MaXXXine</t>
  </si>
  <si>
    <t>/ArvoFK6nlouZRxYmtIOUzKIrg90.jpg</t>
  </si>
  <si>
    <t>https://image.tmdb.org/t/p/w342/ArvoFK6nlouZRxYmtIOUzKIrg90.jpg</t>
  </si>
  <si>
    <t>In 1980s Hollywood, adult film star and aspiring actress Maxine Minx finally gets her big break. But as a mysterious killer stalks the starlets of Hollywood, a trail of blood threatens to reveal her sinister past.</t>
  </si>
  <si>
    <t>https://www.themoviedb.org/movie/1023922</t>
  </si>
  <si>
    <t>Meet the Spartans (2008)</t>
  </si>
  <si>
    <t>Meet the Spartans</t>
  </si>
  <si>
    <t>Comedy, Fantasy</t>
  </si>
  <si>
    <t>/DWQOjAPvM8Kk1Qp3Xq0zae0Z6w.jpg</t>
  </si>
  <si>
    <t>https://image.tmdb.org/t/p/w342/DWQOjAPvM8Kk1Qp3Xq0zae0Z6w.jpg</t>
  </si>
  <si>
    <t>The heroic Leonidas, armed with nothing but leather underwear and a cape, leads a ragtag group of thirteen Spartans to defend their homeland against the invading Persians (whose ranks include Ghost Rider, Rocky Balboa, the Transformers, and a hunchbacked Paris Hilton). No one is safe when the Spartans take on the biggest icons in pop culture!</t>
  </si>
  <si>
    <t>https://www.themoviedb.org/movie/7278</t>
  </si>
  <si>
    <t>Memories of Murder (2003)</t>
  </si>
  <si>
    <t>Memories of Murder</t>
  </si>
  <si>
    <t>Crime, Drama, Thriller</t>
  </si>
  <si>
    <t>/jcgUjx1QcupGzjntTVlnQ15lHqy.jpg</t>
  </si>
  <si>
    <t>https://image.tmdb.org/t/p/w342/jcgUjx1QcupGzjntTVlnQ15lHqy.jpg</t>
  </si>
  <si>
    <t>A sadistic serial rapist and murderer of young women terrorizes a small province in 1980s South Korea. To prevent further crimes, three increasingly desperate detectives with conflicting methods race against time to unravel the violent mind of the killer in a futile effort to solve the case.</t>
  </si>
  <si>
    <t>https://www.themoviedb.org/movie/11423</t>
  </si>
  <si>
    <t>The Midnight Meat Train (2008)</t>
  </si>
  <si>
    <t>The Midnight Meat Train</t>
  </si>
  <si>
    <t>Horror, Mystery, Fantasy</t>
  </si>
  <si>
    <t>/x5YbfyUA8huK0shr008xwzNVJ5Y.jpg</t>
  </si>
  <si>
    <t>https://image.tmdb.org/t/p/w342/x5YbfyUA8huK0shr008xwzNVJ5Y.jpg</t>
  </si>
  <si>
    <t>A photographer's obsessive pursuit of dark subject matter leads him into the path of a serial killer who stalks late night commuters, ultimately butchering them in the most gruesome ways.</t>
  </si>
  <si>
    <t>https://www.themoviedb.org/movie/10185</t>
  </si>
  <si>
    <t>Midnight Movie (2008)</t>
  </si>
  <si>
    <t>Midnight Movie</t>
  </si>
  <si>
    <t>Horror, Thriller, Fantasy</t>
  </si>
  <si>
    <t>/t04hiJUR5EiUjobsYdvQNgJkxbI.jpg</t>
  </si>
  <si>
    <t>https://image.tmdb.org/t/p/w342/t04hiJUR5EiUjobsYdvQNgJkxbI.jpg</t>
  </si>
  <si>
    <t>At a seedy theater in a sleepy suburban town, a group of friends get together for a midnight screening of an early 1970s horror film, unaware that the director has something more in store for them.</t>
  </si>
  <si>
    <t>https://www.themoviedb.org/movie/14686</t>
  </si>
  <si>
    <t>A Million Ways to Die in the West (2014)</t>
  </si>
  <si>
    <t>A Million Ways to Die in the West</t>
  </si>
  <si>
    <t>Comedy, Western</t>
  </si>
  <si>
    <t>/n9SicwnoNGWBwE75le27sUhCLMm.jpg</t>
  </si>
  <si>
    <t>https://image.tmdb.org/t/p/w342/n9SicwnoNGWBwE75le27sUhCLMm.jpg</t>
  </si>
  <si>
    <t>As a cowardly farmer begins to fall for the mysterious new woman in town, he must put his new-found courage to the test when her husband, a notorious gun-slinger, announces his arrival.</t>
  </si>
  <si>
    <t>https://www.themoviedb.org/movie/188161</t>
  </si>
  <si>
    <t>Mission: Impossible (1996)</t>
  </si>
  <si>
    <t>Mission: Impossible</t>
  </si>
  <si>
    <t>Adventure, Action, Thriller</t>
  </si>
  <si>
    <t>/l5uxY5m5OInWpcExIpKG6AR3rgL.jpg</t>
  </si>
  <si>
    <t>https://image.tmdb.org/t/p/w342/l5uxY5m5OInWpcExIpKG6AR3rgL.jpg</t>
  </si>
  <si>
    <t>When Ethan Hunt, the leader of a crack espionage team whose perilous operation has gone awry with no explanation, discovers that a mole has penetrated the CIA, he's surprised to learn that he's the prime suspect. To clear his name, Hunt now must ferret out the real double agent and, in the process, even the score.</t>
  </si>
  <si>
    <t>https://www.themoviedb.org/movie/954</t>
  </si>
  <si>
    <t>Mission: Impossible II (2000)</t>
  </si>
  <si>
    <t>Mission: Impossible II</t>
  </si>
  <si>
    <t>/hfnrual76gPeNFduhD4xzHWpfTw.jpg</t>
  </si>
  <si>
    <t>https://image.tmdb.org/t/p/w342/hfnrual76gPeNFduhD4xzHWpfTw.jpg</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</si>
  <si>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</si>
  <si>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https://www.themoviedb.org/movie/955</t>
  </si>
  <si>
    <t>The Mist (2007)</t>
  </si>
  <si>
    <t>The Mist</t>
  </si>
  <si>
    <t>/1CvJ6diBACKPVGOpcWuY4XPQdqX.jpg</t>
  </si>
  <si>
    <t>https://image.tmdb.org/t/p/w342/1CvJ6diBACKPVGOpcWuY4XPQdqX.jpg</t>
  </si>
  <si>
    <t>After a violent storm, a dense cloud of mist envelops a small Maine town, trapping David Drayton and his five-year-old son in a local grocery store with other local residents. They soon discover that the mist conceals deadly horrors that threaten their lives, and worse, their sanity.</t>
  </si>
  <si>
    <t>https://www.themoviedb.org/movie/5876</t>
  </si>
  <si>
    <t>Les Misérables (2012)</t>
  </si>
  <si>
    <t>Les Misérables</t>
  </si>
  <si>
    <t>History, Drama</t>
  </si>
  <si>
    <t>/6CuzBs2Lb8At7qQr64mLXg2RYRb.jpg</t>
  </si>
  <si>
    <t>https://image.tmdb.org/t/p/w342/6CuzBs2Lb8At7qQr64mLXg2RYRb.jpg</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</si>
  <si>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</si>
  <si>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https://www.themoviedb.org/movie/82695</t>
  </si>
  <si>
    <t>mother! (2017)</t>
  </si>
  <si>
    <t>mother!</t>
  </si>
  <si>
    <t>/fjny9chXPx69ln1LMJxbwi5yHMt.jpg</t>
  </si>
  <si>
    <t>https://image.tmdb.org/t/p/w342/fjny9chXPx69ln1LMJxbwi5yHMt.jpg</t>
  </si>
  <si>
    <t>A couple's relationship is tested when uninvited guests arrive at their home, disrupting their tranquil existence.</t>
  </si>
  <si>
    <t>https://www.themoviedb.org/movie/381283</t>
  </si>
  <si>
    <t>Movie 43 (2013)</t>
  </si>
  <si>
    <t>Movie 43</t>
  </si>
  <si>
    <t>/uYa06GxHsCsELx9vOQ11vsT0Aa6.jpg</t>
  </si>
  <si>
    <t>https://image.tmdb.org/t/p/w342/uYa06GxHsCsELx9vOQ11vsT0Aa6.jpg</t>
  </si>
  <si>
    <t>A series of interconnected short films are the backdrop for a maniac screenwriter who pitches insane storylines featuring some of Hollywood's biggest and brightest.  In some countries, like the United Kingdom and the Netherlands, the structure differs. Instead of a pitch, the films are connected by a group of three teenagers searching for the most banned film in the world, Movie 43, which will ultimately lead to the destruction of civilization.</t>
  </si>
  <si>
    <t>https://www.themoviedb.org/movie/87818</t>
  </si>
  <si>
    <t>Mulholland Drive (2001)</t>
  </si>
  <si>
    <t>Mulholland Drive</t>
  </si>
  <si>
    <t>/x7A59t6ySylr1L7aubOQEA480vM.jpg</t>
  </si>
  <si>
    <t>https://image.tmdb.org/t/p/w342/x7A59t6ySylr1L7aubOQEA480vM.jpg</t>
  </si>
  <si>
    <t>Blonde Betty Elms has only just arrived in Hollywood to become a movie star when she meets an enigmatic brunette with amnesia. Meanwhile, as the two set off to solve the second woman's identity, filmmaker Adam Kesher runs into ominous trouble while casting his latest project.</t>
  </si>
  <si>
    <t>https://www.themoviedb.org/movie/1018</t>
  </si>
  <si>
    <t>National Treasure (2004)</t>
  </si>
  <si>
    <t>National Treasure</t>
  </si>
  <si>
    <t>Adventure, Action, Thriller, Mystery</t>
  </si>
  <si>
    <t>/pxL6E4GBOPUG6CdkO9cUQN5VMwI.jpg</t>
  </si>
  <si>
    <t>https://image.tmdb.org/t/p/w342/pxL6E4GBOPUG6CdkO9cUQN5VMwI.jpg</t>
  </si>
  <si>
    <t>Modern treasure hunters, led by archaeologist Ben Gates, search for a chest of riches rumored to have been stashed away by George Washington, Thomas Jefferson and Benjamin Franklin during the Revolutionary War. The chest's whereabouts may lie in secret clues embedded in the Constitution and the Declaration of Independence, and Gates is in a race to find the gold before his enemies do.</t>
  </si>
  <si>
    <t>https://www.themoviedb.org/movie/2059</t>
  </si>
  <si>
    <t>Natural Born Killers (1994)</t>
  </si>
  <si>
    <t>Natural Born Killers</t>
  </si>
  <si>
    <t>Crime, Thriller, Drama</t>
  </si>
  <si>
    <t>/fEKZwT91gxvkAoyPgpNXo8W5fu0.jpg</t>
  </si>
  <si>
    <t>https://image.tmdb.org/t/p/w342/fEKZwT91gxvkAoyPgpNXo8W5fu0.jpg</t>
  </si>
  <si>
    <t>Two victims of traumatized childhoods become lovers and serial murderers irresponsibly glorified by the mass media.</t>
  </si>
  <si>
    <t>https://www.themoviedb.org/movie/241</t>
  </si>
  <si>
    <t>Neighbors (2014)</t>
  </si>
  <si>
    <t>Neighbors</t>
  </si>
  <si>
    <t>/sN1RU08CMi8xkRIibremh3AOdgw.jpg</t>
  </si>
  <si>
    <t>https://image.tmdb.org/t/p/w342/sN1RU08CMi8xkRIibremh3AOdgw.jpg</t>
  </si>
  <si>
    <t>A couple with a newborn baby face unexpected difficulties after they are forced to live next to a fraternity house.</t>
  </si>
  <si>
    <t>https://www.themoviedb.org/movie/195589</t>
  </si>
  <si>
    <t>Nightcrawler (2014)</t>
  </si>
  <si>
    <t>Nightcrawler</t>
  </si>
  <si>
    <t>/j9HrX8f7GbZQm1BrBiR40uFQZSb.jpg</t>
  </si>
  <si>
    <t>https://image.tmdb.org/t/p/w342/j9HrX8f7GbZQm1BrBiR40uFQZSb.jpg</t>
  </si>
  <si>
    <t>When Lou Bloom, desperate for work, muscles into the world of L.A. crime journalism, he blurs the line between observer and participant to become the star of his own story. Aiding him in his effort is Nina, a TV-news veteran.</t>
  </si>
  <si>
    <t>https://www.themoviedb.org/movie/242582</t>
  </si>
  <si>
    <t>A Nightmare on Elm Street (2010)</t>
  </si>
  <si>
    <t>A Nightmare on Elm Street</t>
  </si>
  <si>
    <t>/wGTpGGRMZmyFCcrY2YoxVTIBlli.jpg</t>
  </si>
  <si>
    <t>https://image.tmdb.org/t/p/w342/wGTpGGRMZmyFCcrY2YoxVTIBlli.jpg</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</si>
  <si>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</si>
  <si>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https://www.themoviedb.org/movie/377</t>
  </si>
  <si>
    <t>A Nightmare on Elm Street 2: Freddy's Revenge (1985)</t>
  </si>
  <si>
    <t>A Nightmare on Elm Street 2: Freddy's Revenge</t>
  </si>
  <si>
    <t>/53kxYw0G3o55yJ23K7s7KMaOyAM.jpg</t>
  </si>
  <si>
    <t>https://image.tmdb.org/t/p/w342/53kxYw0G3o55yJ23K7s7KMaOyAM.jpg</t>
  </si>
  <si>
    <t>A teenage boy is haunted in his dreams by deceased child murderer Freddy Krueger, who is out to possess him in order to continue his reign of terror in the real world.</t>
  </si>
  <si>
    <t>https://www.themoviedb.org/movie/10014</t>
  </si>
  <si>
    <t>A Nightmare on Elm Street 3: Dream Warriors (1987)</t>
  </si>
  <si>
    <t>A Nightmare on Elm Street 3: Dream Warriors</t>
  </si>
  <si>
    <t>/qbtZewU6EGvxi8yFVzwZ31NijLX.jpg</t>
  </si>
  <si>
    <t>https://image.tmdb.org/t/p/w342/qbtZewU6EGvxi8yFVzwZ31NijLX.jpg</t>
  </si>
  <si>
    <t>A psychiatrist, familiar with the knife-wielding dream demon Freddy Krueger, helps teens at a mental hospital battle the killer who is invading their dreams.</t>
  </si>
  <si>
    <t>https://www.themoviedb.org/movie/10072</t>
  </si>
  <si>
    <t>A Nightmare on Elm Street 4: The Dream Master (1988)</t>
  </si>
  <si>
    <t>A Nightmare on Elm Street 4: The Dream Master</t>
  </si>
  <si>
    <t>/boStYG7jKdoIZTduiOOsUVknD13.jpg</t>
  </si>
  <si>
    <t>https://image.tmdb.org/t/p/w342/boStYG7jKdoIZTduiOOsUVknD13.jpg</t>
  </si>
  <si>
    <t>Freddy Krueger returns once again to terrorize the dreams of the remaining Dream Warriors, as well as those of a young woman who may be able to defeat him for good.</t>
  </si>
  <si>
    <t>https://www.themoviedb.org/movie/10131</t>
  </si>
  <si>
    <t>A Nightmare on Elm Street 5: The Dream Child (1989)</t>
  </si>
  <si>
    <t>A Nightmare on Elm Street 5: The Dream Child</t>
  </si>
  <si>
    <t>/kizvpgXQfrAgN8FhOd87LbKk6kO.jpg</t>
  </si>
  <si>
    <t>https://image.tmdb.org/t/p/w342/kizvpgXQfrAgN8FhOd87LbKk6kO.jpg</t>
  </si>
  <si>
    <t>The pregnant Alice finds Freddy Krueger striking through the sleeping mind of her unborn child, hoping to be reborn into the real world.</t>
  </si>
  <si>
    <t>https://www.themoviedb.org/movie/10160</t>
  </si>
  <si>
    <t>No Country for Old Men (2007)</t>
  </si>
  <si>
    <t>No Country for Old Men</t>
  </si>
  <si>
    <t>Crime, Thriller, Western</t>
  </si>
  <si>
    <t>/6d5XOczc226jECq0LIX0siKtgHR.jpg</t>
  </si>
  <si>
    <t>https://image.tmdb.org/t/p/w342/6d5XOczc226jECq0LIX0siKtgHR.jpg</t>
  </si>
  <si>
    <t>Llewelyn Moss stumbles upon dead bodies, $2 million and a hoard of heroin in a Texas desert, but methodical killer Anton Chigurh comes looking for it, with local sheriff Ed Tom Bell hot on his trail. The roles of prey and predator blur as the violent pursuit of money and justice collide.</t>
  </si>
  <si>
    <t>https://www.themoviedb.org/movie/6977</t>
  </si>
  <si>
    <t>No Strings Attached (2011)</t>
  </si>
  <si>
    <t>No Strings Attached</t>
  </si>
  <si>
    <t>/9C09L1U9S13J4Ut029Qhu0oLcTQ.jpg</t>
  </si>
  <si>
    <t>https://image.tmdb.org/t/p/w342/9C09L1U9S13J4Ut029Qhu0oLcTQ.jpg</t>
  </si>
  <si>
    <t>Emma is a busy doctor who sets up a seemingly perfect arrangement when she offers her best friend Adam a relationship with one rule: No strings attached. But when a fling becomes a thing, can sex friends stay best friends?</t>
  </si>
  <si>
    <t>https://www.themoviedb.org/movie/41630</t>
  </si>
  <si>
    <t>Nope (2022)</t>
  </si>
  <si>
    <t>Nope</t>
  </si>
  <si>
    <t>/AcKVlWaNVVVFQwro3nLXqPljcYA.jpg</t>
  </si>
  <si>
    <t>https://image.tmdb.org/t/p/w342/AcKVlWaNVVVFQwro3nLXqPljcYA.jpg</t>
  </si>
  <si>
    <t>Residents in a lonely gulch of inland California bear witness to an uncanny, chilling discovery.</t>
  </si>
  <si>
    <t>https://www.themoviedb.org/movie/762504</t>
  </si>
  <si>
    <t>Now You See Me (2013)</t>
  </si>
  <si>
    <t>Now You See Me</t>
  </si>
  <si>
    <t>Thriller, Crime</t>
  </si>
  <si>
    <t>/tWsNYbrqy1p1w6K9zRk0mSchztT.jpg</t>
  </si>
  <si>
    <t>https://image.tmdb.org/t/p/w342/tWsNYbrqy1p1w6K9zRk0mSchztT.jpg</t>
  </si>
  <si>
    <t>An FBI agent and an Interpol detective track a team of illusionists who pull off bank heists during their performances and reward their audiences with the money.</t>
  </si>
  <si>
    <t>https://www.themoviedb.org/movie/75656</t>
  </si>
  <si>
    <t>The Nun (2018)</t>
  </si>
  <si>
    <t>The Nun</t>
  </si>
  <si>
    <t>/sFC1ElvoKGdHJIWRpNB3xWJ9lJA.jpg</t>
  </si>
  <si>
    <t>https://image.tmdb.org/t/p/w342/sFC1ElvoKGdHJIWRpNB3xWJ9lJA.jpg</t>
  </si>
  <si>
    <t>A priest with a dark past and a novice nearing her final vows are sent by the Vatican to Romania to investigate a nun's death and face a demonic force.</t>
  </si>
  <si>
    <t>https://www.themoviedb.org/movie/439079</t>
  </si>
  <si>
    <t>Observe and Report (2009)</t>
  </si>
  <si>
    <t>Observe and Report</t>
  </si>
  <si>
    <t>Comedy, Crime, Drama</t>
  </si>
  <si>
    <t>/zHuouWUKlRK0SeIjzTlmtoPLrFA.jpg</t>
  </si>
  <si>
    <t>https://image.tmdb.org/t/p/w342/zHuouWUKlRK0SeIjzTlmtoPLrFA.jpg</t>
  </si>
  <si>
    <t>Mall security guard Ronnie Barnhardt is called into action to stop a flasher from turning shopper's paradise into his personal peep show. But when Barnhardt can't bring the culprit to justice, a surly police detective is recruited to close the case.</t>
  </si>
  <si>
    <t>https://www.themoviedb.org/movie/16991</t>
  </si>
  <si>
    <t>Oculus (2013)</t>
  </si>
  <si>
    <t>Oculus</t>
  </si>
  <si>
    <t>/yCzR1yKRLiJyTDLgY1ppazXEmdE.jpg</t>
  </si>
  <si>
    <t>https://image.tmdb.org/t/p/w342/yCzR1yKRLiJyTDLgY1ppazXEmdE.jpg</t>
  </si>
  <si>
    <t>A woman tries to exonerate her brother's murder conviction by proving that the crime was committed by a supernatural phenomenon.</t>
  </si>
  <si>
    <t>https://www.themoviedb.org/movie/157547</t>
  </si>
  <si>
    <t>Oddity (2024)</t>
  </si>
  <si>
    <t>Oddity</t>
  </si>
  <si>
    <t>/3Z9c1tbUhP0QruRjczPHnbx3U2D.jpg</t>
  </si>
  <si>
    <t>https://image.tmdb.org/t/p/w342/3Z9c1tbUhP0QruRjczPHnbx3U2D.jpg</t>
  </si>
  <si>
    <t>After the brutal murder of her twin sister, Darcy goes after those responsible by using haunted items as her tools for revenge.</t>
  </si>
  <si>
    <t>https://www.themoviedb.org/movie/1216191</t>
  </si>
  <si>
    <t>Old School (2003)</t>
  </si>
  <si>
    <t>Old School</t>
  </si>
  <si>
    <t>/nYtuwNHpEoIbTgS3aFPSEwZNN6l.jpg</t>
  </si>
  <si>
    <t>https://image.tmdb.org/t/p/w342/nYtuwNHpEoIbTgS3aFPSEwZNN6l.jpg</t>
  </si>
  <si>
    <t>Three friends attempt to recapture their glory days by opening up a fraternity near their alma mater.</t>
  </si>
  <si>
    <t>https://www.themoviedb.org/movie/11635</t>
  </si>
  <si>
    <t>Oldboy (2003)</t>
  </si>
  <si>
    <t>Oldboy</t>
  </si>
  <si>
    <t>Drama, Thriller, Mystery, Action</t>
  </si>
  <si>
    <t>/pWDtjs568ZfOTMbURQBYuT4Qxka.jpg</t>
  </si>
  <si>
    <t>https://image.tmdb.org/t/p/w342/pWDtjs568ZfOTMbURQBYuT4Qxka.jpg</t>
  </si>
  <si>
    <t>With no clue how he came to be imprisoned, drugged and tortured for 15 years, a desperate man seeks revenge on his captors.</t>
  </si>
  <si>
    <t>https://www.themoviedb.org/movie/670</t>
  </si>
  <si>
    <t>Orange Is the New Black (TV Series) (2013-2019)</t>
  </si>
  <si>
    <t>Blu-ray (Season 1)</t>
  </si>
  <si>
    <t>The Others (2001)</t>
  </si>
  <si>
    <t>The Others</t>
  </si>
  <si>
    <t>/p8g1vlTvpM6nr2hMMiZ1fUlKF0D.jpg</t>
  </si>
  <si>
    <t>https://image.tmdb.org/t/p/w342/p8g1vlTvpM6nr2hMMiZ1fUlKF0D.jpg</t>
  </si>
  <si>
    <t>Grace is a woman who lives in an old house kept dark because her two children, Anne and Nicholas, have a rare sensitivity to light. When the family begins to suspect the house is haunted, Grace fights to protect her children at any cost in the face of strange events and disturbing visions.</t>
  </si>
  <si>
    <t>https://www.themoviedb.org/movie/1933</t>
  </si>
  <si>
    <t>Ouija: Origin of Evil (2016)</t>
  </si>
  <si>
    <t>Ouija: Origin of Evil</t>
  </si>
  <si>
    <t>/gwynHc2RrOFaplYMMpQRpr3TIA4.jpg</t>
  </si>
  <si>
    <t>https://image.tmdb.org/t/p/w342/gwynHc2RrOFaplYMMpQRpr3TIA4.jpg</t>
  </si>
  <si>
    <t>In 1967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</si>
  <si>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https://www.themoviedb.org/movie/335796</t>
  </si>
  <si>
    <t>Our Idiot Brother (2011)</t>
  </si>
  <si>
    <t>Our Idiot Brother</t>
  </si>
  <si>
    <t>/2HahJCcUEduvMUTQhsqRwutpFw1.jpg</t>
  </si>
  <si>
    <t>https://image.tmdb.org/t/p/w342/2HahJCcUEduvMUTQhsqRwutpFw1.jpg</t>
  </si>
  <si>
    <t>Everybody has one—the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</si>
  <si>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https://www.themoviedb.org/movie/59968</t>
  </si>
  <si>
    <t>Paranormal Activity (2007)</t>
  </si>
  <si>
    <t>Paranormal Activity</t>
  </si>
  <si>
    <t>/tmclkEpjeo4Zu564gf3KrwIOuKw.jpg</t>
  </si>
  <si>
    <t>https://image.tmdb.org/t/p/w342/tmclkEpjeo4Zu564gf3KrwIOuKw.jpg</t>
  </si>
  <si>
    <t>After a young, middle-class couple moves into what seems like a typical suburban house, they become increasingly disturbed by a presence that may or may not be demonic but is certainly the most active in the middle of the night.</t>
  </si>
  <si>
    <t>https://www.themoviedb.org/movie/23827</t>
  </si>
  <si>
    <t>Paranormal Activity 2 (2010)</t>
  </si>
  <si>
    <t>Paranormal Activity 2</t>
  </si>
  <si>
    <t>/gfdrkBZAyUUXJJ2iLQe03SAYRD3.jpg</t>
  </si>
  <si>
    <t>https://image.tmdb.org/t/p/w342/gfdrkBZAyUUXJJ2iLQe03SAYRD3.jpg</t>
  </si>
  <si>
    <t>Just as Daniel and Kristi welcome a newborn baby into their home, a demonic presence begins terrorizing them, tearing apart their perfect world and turning it into an inescapable nightmare.</t>
  </si>
  <si>
    <t>https://www.themoviedb.org/movie/41436</t>
  </si>
  <si>
    <t>Paranormal Activity 3 (2011)</t>
  </si>
  <si>
    <t>Paranormal Activity 3</t>
  </si>
  <si>
    <t>/9nYranPiWdNmbD5PRPPSL7VUFTS.jpg</t>
  </si>
  <si>
    <t>https://image.tmdb.org/t/p/w342/9nYranPiWdNmbD5PRPPSL7VUFTS.jpg</t>
  </si>
  <si>
    <t>In 1988, young sisters Katie and Kristi befriend an invisible entity who resides in their home.</t>
  </si>
  <si>
    <t>https://www.themoviedb.org/movie/72571</t>
  </si>
  <si>
    <t>Paranormal Activity 4 (2012)</t>
  </si>
  <si>
    <t>Paranormal Activity 4</t>
  </si>
  <si>
    <t>/na5tAslm1kGNcft083AIXMTOsYR.jpg</t>
  </si>
  <si>
    <t>https://image.tmdb.org/t/p/w342/na5tAslm1kGNcft083AIXMTOsYR.jpg</t>
  </si>
  <si>
    <t>It has been five years since the disappearance of Katie and Hunter, and a suburban family witness strange events in their neighborhood when a woman and a mysterious child move in.</t>
  </si>
  <si>
    <t>https://www.themoviedb.org/movie/82990</t>
  </si>
  <si>
    <t>Paranormal Activity: The Ghost Dimension (2015)</t>
  </si>
  <si>
    <t>Paranormal Activity: The Ghost Dimension</t>
  </si>
  <si>
    <t>/1YpFQ2MQKzlDoa8diLWkapdRI8t.jpg</t>
  </si>
  <si>
    <t>https://image.tmdb.org/t/p/w342/1YpFQ2MQKzlDoa8diLWkapdRI8t.jpg</t>
  </si>
  <si>
    <t>Using a special camera that can see spirits, a family must protect their daughter from an evil entity with a sinister plan.</t>
  </si>
  <si>
    <t>https://www.themoviedb.org/movie/146301</t>
  </si>
  <si>
    <t>Paranormal Activity: The Marked Ones (2014)</t>
  </si>
  <si>
    <t>Paranormal Activity: The Marked Ones</t>
  </si>
  <si>
    <t>/2o4vBAnORr9UnLMvWHhULGDHfzH.jpg</t>
  </si>
  <si>
    <t>https://image.tmdb.org/t/p/w342/2o4vBAnORr9UnLMvWHhULGDHfzH.jpg</t>
  </si>
  <si>
    <t>Seventeen-year-old Jesse has been hearing terrifying sounds coming from his neighbor’s apartment, but when he turns on his camera and sets out to uncover their source, he encounters an ancient evil that won’t rest until it’s claimed his very soul.</t>
  </si>
  <si>
    <t>https://www.themoviedb.org/movie/227348</t>
  </si>
  <si>
    <t>Parasite (2019)</t>
  </si>
  <si>
    <t>Parasite</t>
  </si>
  <si>
    <t>Comedy, Thriller, Drama</t>
  </si>
  <si>
    <t>/7IiTTgloJzvGI1TAYymCfbfl3vT.jpg</t>
  </si>
  <si>
    <t>https://image.tmdb.org/t/p/w342/7IiTTgloJzvGI1TAYymCfbfl3vT.jpg</t>
  </si>
  <si>
    <t>All unemployed, Ki-taek's family takes peculiar interest in the wealthy and glamorous Parks for their livelihood until they get entangled in an unexpected incident.</t>
  </si>
  <si>
    <t>https://www.themoviedb.org/movie/496243</t>
  </si>
  <si>
    <t>Paul (2011)</t>
  </si>
  <si>
    <t>Paul</t>
  </si>
  <si>
    <t>Adventure, Comedy, Science Fiction</t>
  </si>
  <si>
    <t>/dKhexH8nS08lVlSmwSs00cHFxbY.jpg</t>
  </si>
  <si>
    <t>https://image.tmdb.org/t/p/w342/dKhexH8nS08lVlSmwSs00cHFxbY.jpg</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</si>
  <si>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</si>
  <si>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https://www.themoviedb.org/movie/39513</t>
  </si>
  <si>
    <t>Pearl (2022)</t>
  </si>
  <si>
    <t>Pearl</t>
  </si>
  <si>
    <t>/z5uIG81pXyHKg7cUFIu84Wjn4NS.jpg</t>
  </si>
  <si>
    <t>https://image.tmdb.org/t/p/w342/z5uIG81pXyHKg7cUFIu84Wjn4NS.jpg</t>
  </si>
  <si>
    <t>Trapped on her family’s isolated farm, Pearl must tend to her ailing father under the bitter and overbearing watch of her devout mother. Lusting for a glamorous life like she’s seen in the movies, Pearl’s ambitions, temptations, and repressions collide.</t>
  </si>
  <si>
    <t>https://www.themoviedb.org/movie/949423</t>
  </si>
  <si>
    <t>Pet Sematary (1989)</t>
  </si>
  <si>
    <t>Pet Sematary</t>
  </si>
  <si>
    <t>/a1gIACZb04bL8EvLqMpofW2Eqeo.jpg</t>
  </si>
  <si>
    <t>https://image.tmdb.org/t/p/w342/a1gIACZb04bL8EvLqMpofW2Eqeo.jpg</t>
  </si>
  <si>
    <t>After the Creed family's cat is accidentally killed, a friendly neighbor advises its burial in a mysterious nearby cemetery.</t>
  </si>
  <si>
    <t>https://www.themoviedb.org/movie/8913</t>
  </si>
  <si>
    <t>Pineapple Express (2008)</t>
  </si>
  <si>
    <t>Pineapple Express</t>
  </si>
  <si>
    <t>/6E50WjeOYjDZg9HXgPjYdGtY2jG.jpg</t>
  </si>
  <si>
    <t>https://image.tmdb.org/t/p/w342/6E50WjeOYjDZg9HXgPjYdGtY2jG.jpg</t>
  </si>
  <si>
    <t>A stoner and his dealer are forced to go on the run from the police after the pothead witnesses a cop commit a murder.</t>
  </si>
  <si>
    <t>https://www.themoviedb.org/movie/10189</t>
  </si>
  <si>
    <t>Pitch Perfect (2012)</t>
  </si>
  <si>
    <t>Pitch Perfect</t>
  </si>
  <si>
    <t>Comedy, Music, Romance</t>
  </si>
  <si>
    <t>/gsFoJk9g8W3zgaipRrrURk7LbiF.jpg</t>
  </si>
  <si>
    <t>https://image.tmdb.org/t/p/w342/gsFoJk9g8W3zgaipRrrURk7LbiF.jpg</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</si>
  <si>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</si>
  <si>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https://www.themoviedb.org/movie/114150</t>
  </si>
  <si>
    <t>Pitch Perfect 2 (2015)</t>
  </si>
  <si>
    <t>Pitch Perfect 2</t>
  </si>
  <si>
    <t>Comedy, Music</t>
  </si>
  <si>
    <t>/oFBQUufCV4c8WZoNhtGM17p884H.jpg</t>
  </si>
  <si>
    <t>https://image.tmdb.org/t/p/w342/oFBQUufCV4c8WZoNhtGM17p884H.jpg</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</si>
  <si>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</si>
  <si>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https://www.themoviedb.org/movie/254470</t>
  </si>
  <si>
    <t>Planet Earth II (2016)</t>
  </si>
  <si>
    <t>Planet Earth II</t>
  </si>
  <si>
    <t>Planet Earth III (TV Series) (2023)</t>
  </si>
  <si>
    <t>Planet Earth III (TV Series)</t>
  </si>
  <si>
    <t>Planet Terror (2007)</t>
  </si>
  <si>
    <t>Planet Terror</t>
  </si>
  <si>
    <t>Horror, Action, Thriller</t>
  </si>
  <si>
    <t>/3705GxG0RN9XDV5y9IiXKYHw1fK.jpg</t>
  </si>
  <si>
    <t>https://image.tmdb.org/t/p/w342/3705GxG0RN9XDV5y9IiXKYHw1fK.jpg</t>
  </si>
  <si>
    <t>Two doctors find their graveyard shift inundated with townspeople ravaged by sores. Among the wounded is Cherry Darling, a dancer whose leg was ripped from her body. As the invalids quickly become enraged aggressors, Cherry and her ex-boyfriend El Wray lead a team of accidental warriors into the night.</t>
  </si>
  <si>
    <t>https://www.themoviedb.org/movie/1992</t>
  </si>
  <si>
    <t>Pokémon 3: The Movie - Spell of the Unown (2000)</t>
  </si>
  <si>
    <t>Pokémon 3: The Movie - Spell of the Unown</t>
  </si>
  <si>
    <t>Adventure, Fantasy, Animation, Action, Family</t>
  </si>
  <si>
    <t>/hrBWiMWnD7mheMx846ycUWA3ohs.jpg</t>
  </si>
  <si>
    <t>https://image.tmdb.org/t/p/w342/hrBWiMWnD7mheMx846ycUWA3ohs.jpg</t>
  </si>
  <si>
    <t>When the sadness of her father's disappearance gets to Molly Hale, she unknowingly uses the Unown to create her own dream world along with Entei, who she believes to be her father. When Entei kidnaps Ash's mother, Ash — alongside Misty and Brock — invade the mansion looking for his mom and trying to stop the mysteries of Molly's Dream World and Entei!</t>
  </si>
  <si>
    <t>https://www.themoviedb.org/movie/10991</t>
  </si>
  <si>
    <t>Pokémon: The First Movie - Mewtwo Strikes Back (1998)</t>
  </si>
  <si>
    <t>Pokémon: The First Movie - Mewtwo Strikes Back</t>
  </si>
  <si>
    <t>Animation, Family, Adventure, Fantasy, Action</t>
  </si>
  <si>
    <t>/6YPzBcMH0aPNTvdXNCDLY0zdE1g.jpg</t>
  </si>
  <si>
    <t>https://image.tmdb.org/t/p/w342/6YPzBcMH0aPNTvdXNCDLY0zdE1g.jpg</t>
  </si>
  <si>
    <t>Determined to prove its superiority, a bio-engineered Pokémon called Mewtwo lures Ash, Pikachu and others into a Pokemon match like none before.</t>
  </si>
  <si>
    <t>https://www.themoviedb.org/movie/10228</t>
  </si>
  <si>
    <t>Pokémon: The Movie 2000 - The Power of One (1999)</t>
  </si>
  <si>
    <t>Pokémon: The Movie 2000 - The Power of One</t>
  </si>
  <si>
    <t>Adventure, Fantasy, Animation, Science Fiction, Family</t>
  </si>
  <si>
    <t>/6u65C8aG4krAVyHsTjAMF7ucTDH.jpg</t>
  </si>
  <si>
    <t>https://image.tmdb.org/t/p/w342/6u65C8aG4krAVyHsTjAMF7ucTDH.jpg</t>
  </si>
  <si>
    <t>When Lawrence III's scheme to capture the Legendary Pokémon Lugia upsets the balance of nature, it is up to Ash Ketchum and his friends to save the world.</t>
  </si>
  <si>
    <t>https://www.themoviedb.org/movie/12599</t>
  </si>
  <si>
    <t>Poltergeist (1982)</t>
  </si>
  <si>
    <t>Poltergeist</t>
  </si>
  <si>
    <t>/m5AKo8iZAYulI87Uzxkn87vRY07.jpg</t>
  </si>
  <si>
    <t>https://image.tmdb.org/t/p/w342/m5AKo8iZAYulI87Uzxkn87vRY07.jpg</t>
  </si>
  <si>
    <t>The Freelings' suburban home becomes the center of paranormal activity that opens a portal to the 'other side'. With help, they must cross over to get their daughter back.</t>
  </si>
  <si>
    <t>https://www.themoviedb.org/movie/609</t>
  </si>
  <si>
    <t>Possessor (2019)</t>
  </si>
  <si>
    <t>Possessor</t>
  </si>
  <si>
    <t>The Poughkeepsie Tapes (2007)</t>
  </si>
  <si>
    <t>The Poughkeepsie Tapes</t>
  </si>
  <si>
    <t>Horror, Mystery, Crime, Thriller</t>
  </si>
  <si>
    <t>/8ppkhu3pO3fnXr05YeE7ryKloVd.jpg</t>
  </si>
  <si>
    <t>https://image.tmdb.org/t/p/w342/8ppkhu3pO3fnXr05YeE7ryKloVd.jpg</t>
  </si>
  <si>
    <t>When hundreds of videotapes showing torture, murder and dismemberment are found in an abandoned house, they reveal a serial killer's decade-long reign of terror and become the most disturbing collection of evidence homicide detectives have ever seen.</t>
  </si>
  <si>
    <t>https://www.themoviedb.org/movie/38410</t>
  </si>
  <si>
    <t>Primer (2004)</t>
  </si>
  <si>
    <t>Primer</t>
  </si>
  <si>
    <t>Science Fiction, Drama, Thriller</t>
  </si>
  <si>
    <t>/xEoq2WmDzpzxhkHEsmOYOg6BPg6.jpg</t>
  </si>
  <si>
    <t>https://image.tmdb.org/t/p/w342/xEoq2WmDzpzxhkHEsmOYOg6BPg6.jpg</t>
  </si>
  <si>
    <t>A group of fledgling inventors discover a complex method to manipulate reality. At first, they successfully game the stock market with it, but the consequences of the invention start to catch up with them.</t>
  </si>
  <si>
    <t>https://www.themoviedb.org/movie/14337</t>
  </si>
  <si>
    <t>The Proposal (2009)</t>
  </si>
  <si>
    <t>The Proposal</t>
  </si>
  <si>
    <t>Comedy, Romance, Drama</t>
  </si>
  <si>
    <t>/6stnAm1wSek8ZrislwK4xGTyCnt.jpg</t>
  </si>
  <si>
    <t>https://image.tmdb.org/t/p/w342/6stnAm1wSek8ZrislwK4xGTyCnt.jpg</t>
  </si>
  <si>
    <t>When she learns she's in danger of losing her visa status and being deported, overbearing book editor Margaret Tate forces her put-upon assistant, Andrew Paxton, to marry her.</t>
  </si>
  <si>
    <t>https://www.themoviedb.org/movie/18240</t>
  </si>
  <si>
    <t>Pulse (2001)</t>
  </si>
  <si>
    <t>Pulse</t>
  </si>
  <si>
    <t>/c3zEimDraIyMSasPMGDaNOrhnzn.jpg</t>
  </si>
  <si>
    <t>https://image.tmdb.org/t/p/w342/c3zEimDraIyMSasPMGDaNOrhnzn.jpg</t>
  </si>
  <si>
    <t>In the immense city of Tokyo, the darkness of the afterlife lures some of its inhabitants desperately trying to escape the sadness and isolation of the modern world.</t>
  </si>
  <si>
    <t>https://www.themoviedb.org/movie/27324</t>
  </si>
  <si>
    <t>The Purge (2013)</t>
  </si>
  <si>
    <t>The Purge</t>
  </si>
  <si>
    <t>Science Fiction, Horror, Thriller</t>
  </si>
  <si>
    <t>/46X1ei9uf13nkkr0OhWldGyr5Uh.jpg</t>
  </si>
  <si>
    <t>https://image.tmdb.org/t/p/w342/46X1ei9uf13nkkr0OhWldGyr5Uh.jpg</t>
  </si>
  <si>
    <t>Given the country's overcrowded prisons, the U.S. government begins to allow 12-hour periods of time in which all illegal activity is legal. During one of these free-for-alls, a family must protect themselves from a home invasion.</t>
  </si>
  <si>
    <t>https://www.themoviedb.org/movie/158015</t>
  </si>
  <si>
    <t>The Purge: Anarchy (2014)</t>
  </si>
  <si>
    <t>The Purge: Anarchy</t>
  </si>
  <si>
    <t>/qwqHHZLZSUvMkAMQ47ymtfjEifY.jpg</t>
  </si>
  <si>
    <t>https://image.tmdb.org/t/p/w342/qwqHHZLZSUvMkAMQ47ymtfjEifY.jpg</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</si>
  <si>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</si>
  <si>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https://www.themoviedb.org/movie/238636</t>
  </si>
  <si>
    <t>The Purge: Election Year (2016)</t>
  </si>
  <si>
    <t>The Purge: Election Year</t>
  </si>
  <si>
    <t>/gg7tlp45xqGWMra0sqQVPvybje2.jpg</t>
  </si>
  <si>
    <t>https://image.tmdb.org/t/p/w342/gg7tlp45xqGWMra0sqQVPvybje2.jpg</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</si>
  <si>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</si>
  <si>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https://www.themoviedb.org/movie/316727</t>
  </si>
  <si>
    <t>Raw (2016)</t>
  </si>
  <si>
    <t>Raw</t>
  </si>
  <si>
    <t>/kc8jT1MAiKM0iwdjAwC5lQrTNry.jpg</t>
  </si>
  <si>
    <t>https://image.tmdb.org/t/p/w342/kc8jT1MAiKM0iwdjAwC5lQrTNry.jpg</t>
  </si>
  <si>
    <t>Stringent vegetarian Justine encounters a decadent, merciless, and dangerously seductive world during her first week at veterinary school. Desperate to fit in, she strays from her principles and eats raw meat for the first time. She soon experiences terrible and unexpected consequences as her true self begins to emerge.</t>
  </si>
  <si>
    <t>https://www.themoviedb.org/movie/393519</t>
  </si>
  <si>
    <t>Ready or Not (2019)</t>
  </si>
  <si>
    <t>Ready or Not</t>
  </si>
  <si>
    <t>/oJD9KQFoObZmxAS1je56SIFVNJt.jpg</t>
  </si>
  <si>
    <t>https://image.tmdb.org/t/p/w342/oJD9KQFoObZmxAS1je56SIFVNJt.jpg</t>
  </si>
  <si>
    <t>A young bride's wedding night turns into her worst nightmare when her ridiculously rich in-laws force her to play a gruesome game of hide-and-seek.</t>
  </si>
  <si>
    <t>https://www.themoviedb.org/movie/567609</t>
  </si>
  <si>
    <t>Ready Player One (2018)</t>
  </si>
  <si>
    <t>Ready Player One</t>
  </si>
  <si>
    <t>/pU1ULUq8D3iRxl1fdX2lZIzdHuI.jpg</t>
  </si>
  <si>
    <t>https://image.tmdb.org/t/p/w342/pU1ULUq8D3iRxl1fdX2lZIzdHuI.jpg</t>
  </si>
  <si>
    <t>When the creator of a popular video game system dies, a virtual contest is created to compete for his fortune.</t>
  </si>
  <si>
    <t>https://www.themoviedb.org/movie/333339</t>
  </si>
  <si>
    <t>Return to House on Haunted Hill (2007)</t>
  </si>
  <si>
    <t>Return to House on Haunted Hill</t>
  </si>
  <si>
    <t>/ipBiyifbFqY0ZduO3R9OPBjc2pH.jpg</t>
  </si>
  <si>
    <t>https://image.tmdb.org/t/p/w342/ipBiyifbFqY0ZduO3R9OPBjc2pH.jpg</t>
  </si>
  <si>
    <t>Eight years have passed since Sara Wolfe and Eddie Baker escaped the House on Haunted Hill. Now the kidnapped Ariel, Sara's sister, goes inside the house with a group of treasure hunters to find the statue of Baphomet, worth millions and believed to be the cause of the House's evil.</t>
  </si>
  <si>
    <t>https://www.themoviedb.org/movie/13564</t>
  </si>
  <si>
    <t>The Ring (2002)</t>
  </si>
  <si>
    <t>The Ring</t>
  </si>
  <si>
    <t>The Ring is a 2002 American supernatural horror film directed by Gore Verbinski, written by Ehren Kruger, and starring Naomi Watts, Martin Henderson, David Dorfman, and Brian Cox. The film follows Rachel Keller, a journalist who discovers a cursed VHS tape that causes its viewers to die seven days later. It is the first installment in the American Ring series and a remake of the 1998 Japanese film, itself based on the 1991 novel by Koji Suzuki.</t>
  </si>
  <si>
    <t>Ring (1998)</t>
  </si>
  <si>
    <t>Ring</t>
  </si>
  <si>
    <t>/1YINof6kN5yRdePEbcU5360ejoq.jpg</t>
  </si>
  <si>
    <t>https://image.tmdb.org/t/p/w342/1YINof6kN5yRdePEbcU5360ejoq.jpg</t>
  </si>
  <si>
    <t>A mysterious video has been linked to a number of deaths, and when an inquisitive journalist finds the tape and views it herself, she sets in motion a chain of events that puts her own life in danger.</t>
  </si>
  <si>
    <t>https://www.themoviedb.org/movie/2671</t>
  </si>
  <si>
    <t>The Ring Two (2005)</t>
  </si>
  <si>
    <t>The Ring Two</t>
  </si>
  <si>
    <t>/bHbz7z2pecTawhkqLpuC2m0qywe.jpg</t>
  </si>
  <si>
    <t>https://image.tmdb.org/t/p/w342/bHbz7z2pecTawhkqLpuC2m0qywe.jpg</t>
  </si>
  <si>
    <t>After the ordeal with Samara, Rachel and Aiden move to a rural town. But soon Rachel learns about the death of a girl in a similar fashion. To save Aiden, she must dig into Samara's past even further.</t>
  </si>
  <si>
    <t>https://www.themoviedb.org/movie/10320</t>
  </si>
  <si>
    <t>Rings (2017)</t>
  </si>
  <si>
    <t>Rings</t>
  </si>
  <si>
    <t>/yp4CDOVpVmNwiPoZKQeFCpW8CFo.jpg</t>
  </si>
  <si>
    <t>https://image.tmdb.org/t/p/w342/yp4CDOVpVmNwiPoZKQeFCpW8CFo.jpg</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</si>
  <si>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</si>
  <si>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https://www.themoviedb.org/movie/14564</t>
  </si>
  <si>
    <t>Rise of the Planet of the Apes (2011)</t>
  </si>
  <si>
    <t>Rise of the Planet of the Apes</t>
  </si>
  <si>
    <t>Thriller, Action, Drama, Science Fiction</t>
  </si>
  <si>
    <t>/oqA45qMyyo1TtrnVEBKxqmTPhbN.jpg</t>
  </si>
  <si>
    <t>https://image.tmdb.org/t/p/w342/oqA45qMyyo1TtrnVEBKxqmTPhbN.jpg</t>
  </si>
  <si>
    <t>A highly intelligent chimpanzee named Caesar has been living a peaceful suburban life ever since he was born. But when he gets taken to a cruel primate facility, Caesar decides to revolt against those who have harmed him.</t>
  </si>
  <si>
    <t>https://www.themoviedb.org/movie/61791</t>
  </si>
  <si>
    <t>RoboCop (1987)</t>
  </si>
  <si>
    <t>RoboCop</t>
  </si>
  <si>
    <t>Action, Thriller, Science Fiction</t>
  </si>
  <si>
    <t>/esmAU0fCO28FbS6bUBKLAzJrohZ.jpg</t>
  </si>
  <si>
    <t>https://image.tmdb.org/t/p/w342/esmAU0fCO28FbS6bUBKLAzJrohZ.jpg</t>
  </si>
  <si>
    <t>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</si>
  <si>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https://www.themoviedb.org/movie/5548</t>
  </si>
  <si>
    <t>The Sadness (2021)</t>
  </si>
  <si>
    <t>The Sadness</t>
  </si>
  <si>
    <t>/mi5lh2brPMzuWYddyUKuCtcnjt1.jpg</t>
  </si>
  <si>
    <t>https://image.tmdb.org/t/p/w342/mi5lh2brPMzuWYddyUKuCtcnjt1.jpg</t>
  </si>
  <si>
    <t>A young couple is pushed to the limits of sanity as they attempt to be reunited amid the chaos of a pandemic outbreak. The streets erupt into violence and depravity, as those infected are driven to enact the most cruel and ghastly things imaginable.</t>
  </si>
  <si>
    <t>https://www.themoviedb.org/movie/776797</t>
  </si>
  <si>
    <t>Saw (2004)</t>
  </si>
  <si>
    <t>Saw</t>
  </si>
  <si>
    <t>Horror, Mystery, Crime</t>
  </si>
  <si>
    <t>/rLNSOudrayDBo1uqXjrhxcjODIC.jpg</t>
  </si>
  <si>
    <t>https://image.tmdb.org/t/p/w342/rLNSOudrayDBo1uqXjrhxcjODIC.jpg</t>
  </si>
  <si>
    <t>Two men wake up to find themselves shackled in a grimy, abandoned bathroom. As they struggle to comprehend their predicament, they discover a disturbing tape left behind by the sadistic mastermind known as Jigsaw. With a chilling voice and cryptic instructions, Jigsaw informs them that they must partake in a gruesome game in order to secure their freedom.</t>
  </si>
  <si>
    <t>https://www.themoviedb.org/movie/176</t>
  </si>
  <si>
    <t>Saw II (2005)</t>
  </si>
  <si>
    <t>Saw II</t>
  </si>
  <si>
    <t>/gTnaTysN8HsvVQqTRUh8m35mmUA.jpg</t>
  </si>
  <si>
    <t>https://image.tmdb.org/t/p/w342/gTnaTysN8HsvVQqTRUh8m35mmUA.jpg</t>
  </si>
  <si>
    <t>The chilling and relentless Jigsaw killer returns to terrorize the city once again. When a gruesome murder victim emerges with unmistakable traces of Jigsaw's sinister methods, Detective Eric Matthews is thrust into a high-stakes investigation. To his surprise, apprehending Jigsaw seems almost too easy, but what he doesn't realize is that being caught is merely another piece of Jigsaw's intricate puzzle.</t>
  </si>
  <si>
    <t>https://www.themoviedb.org/movie/215</t>
  </si>
  <si>
    <t>Saw III (2006)</t>
  </si>
  <si>
    <t>Saw III</t>
  </si>
  <si>
    <t>Horror, Thriller, Crime</t>
  </si>
  <si>
    <t>/4iO9n24Rb10peXV0JH2EldIOrAp.jpg</t>
  </si>
  <si>
    <t>https://image.tmdb.org/t/p/w342/4iO9n24Rb10peXV0JH2EldIOrAp.jpg</t>
  </si>
  <si>
    <t>Jigsaw has disappeared. Along with his new apprentice Amanda, the puppet-master behind the cruel, intricate games that have terrified a community and baffled police has once again eluded capture and vanished. While city detectives scramble to locate him, Doctor Lynn Denlon and Jeff Reinhart are unaware that they are about to become the latest pawns on his vicious chessboard.</t>
  </si>
  <si>
    <t>https://www.themoviedb.org/movie/214</t>
  </si>
  <si>
    <t>Saw IV (2007)</t>
  </si>
  <si>
    <t>Saw IV</t>
  </si>
  <si>
    <t>/ku1QdCXOU4ckz3zxLLlis8MIJVm.jpg</t>
  </si>
  <si>
    <t>https://image.tmdb.org/t/p/w342/ku1QdCXOU4ckz3zxLLlis8MIJVm.jpg</t>
  </si>
  <si>
    <t>Despite Jigsaw's death, and in order to save the lives of two of his colleagues, Lieutenant Rigg is forced to take part in a new game, which promises to test him to the limit.</t>
  </si>
  <si>
    <t>https://www.themoviedb.org/movie/663</t>
  </si>
  <si>
    <t>Saw V (2008)</t>
  </si>
  <si>
    <t>Saw V</t>
  </si>
  <si>
    <t>/rKl79KqLXg60KFyKsLe4wSSjQ08.jpg</t>
  </si>
  <si>
    <t>https://image.tmdb.org/t/p/w342/rKl79KqLXg60KFyKsLe4wSSjQ08.jpg</t>
  </si>
  <si>
    <t>Following Jigsaw's grisly demise, Detective Mark Hoffman is commended as a hero, but Agent Strahm is suspicious, and delves into Hoffman's past. Meanwhile, another group of people are put through a series of gruesome tests.</t>
  </si>
  <si>
    <t>https://www.themoviedb.org/movie/11917</t>
  </si>
  <si>
    <t>Saw VI (2009)</t>
  </si>
  <si>
    <t>Saw VI</t>
  </si>
  <si>
    <t>/9JtluosCbioSXJSABZByaODyPpa.jpg</t>
  </si>
  <si>
    <t>https://image.tmdb.org/t/p/w342/9JtluosCbioSXJSABZByaODyPpa.jpg</t>
  </si>
  <si>
    <t>Special Agent Strahm is dead, and Detective Hoffman has emerged as the unchallenged successor to Jigsaw's legacy. However, when the FBI draws closer to Hoffman, he is forced to set a game into motion, and Jigsaw's grand scheme is finally understood.</t>
  </si>
  <si>
    <t>https://www.themoviedb.org/movie/22804</t>
  </si>
  <si>
    <t>Saw: The Final Chapter (2010)</t>
  </si>
  <si>
    <t>Saw: The Final Chapter</t>
  </si>
  <si>
    <t>Horror, Crime</t>
  </si>
  <si>
    <t>/qHCZ6LjtmqWDfXXN28TlIC9OppK.jpg</t>
  </si>
  <si>
    <t>https://image.tmdb.org/t/p/w342/qHCZ6LjtmqWDfXXN28TlIC9OppK.jpg</t>
  </si>
  <si>
    <t>As a deadly battle rages over Jigsaw's brutal legacy, a group of Jigsaw survivors gathers to seek the support of self-help guru and fellow survivor Bobby Dagen, a man whose own dark secrets unleash a new wave of terror.</t>
  </si>
  <si>
    <t>https://www.themoviedb.org/movie/41439</t>
  </si>
  <si>
    <t>Scary Movie (2000)</t>
  </si>
  <si>
    <t>Scary Movie</t>
  </si>
  <si>
    <t>/fVQFPRuw3yWXojYDJvA5EoFjUOY.jpg</t>
  </si>
  <si>
    <t>https://image.tmdb.org/t/p/w342/fVQFPRuw3yWXojYDJvA5EoFjUOY.jpg</t>
  </si>
  <si>
    <t>A familiar-looking group of teenagers find themselves being stalked by a more-than-vaguely recognizable masked killer! As the victims begin to pile up and the laughs pile on, none of your favorite scary movies escape the razor-sharp satire of this outrageously funny parody!</t>
  </si>
  <si>
    <t>https://www.themoviedb.org/movie/4247</t>
  </si>
  <si>
    <t>Scary Movie 2 (2001)</t>
  </si>
  <si>
    <t>Scary Movie 2</t>
  </si>
  <si>
    <t>/7Eb1JWK0Cb0rbfsYjwfc9g0PbQH.jpg</t>
  </si>
  <si>
    <t>https://image.tmdb.org/t/p/w342/7Eb1JWK0Cb0rbfsYjwfc9g0PbQH.jpg</t>
  </si>
  <si>
    <t>While the original parodied slasher flicks like Scream, Keenen Ivory Wayans's sequel to Scary Movie takes comedic aim at haunted house movies. A group of students visit a mansion called "Hell House," and murderous high jinks ensue.</t>
  </si>
  <si>
    <t>https://www.themoviedb.org/movie/4248</t>
  </si>
  <si>
    <t>Scary Movie 3 (2003)</t>
  </si>
  <si>
    <t>Scary Movie 3</t>
  </si>
  <si>
    <t>/lpNG1nx67rvYze1b1R9q0YoSzrC.jpg</t>
  </si>
  <si>
    <t>https://image.tmdb.org/t/p/w342/lpNG1nx67rvYze1b1R9q0YoSzrC.jpg</t>
  </si>
  <si>
    <t>In the third installment of the Scary Movie franchise, news anchorwoman Cindy Campbell has to investigate mysterious crop circles and killing video tapes, and help the President stop an alien invasion in the process.</t>
  </si>
  <si>
    <t>https://www.themoviedb.org/movie/4256</t>
  </si>
  <si>
    <t>Scream (1996)</t>
  </si>
  <si>
    <t>Scream</t>
  </si>
  <si>
    <t>Crime, Horror, Mystery</t>
  </si>
  <si>
    <t>/lr9ZIrmuwVmZhpZuTCW8D9g0ZJe.jpg</t>
  </si>
  <si>
    <t>https://image.tmdb.org/t/p/w342/lr9ZIrmuwVmZhpZuTCW8D9g0ZJe.jpg</t>
  </si>
  <si>
    <t>A year after the murder of her mother, a teenage girl is terrorized by a masked killer who targets her and her friends by using scary movies as part of a deadly game.</t>
  </si>
  <si>
    <t>https://www.themoviedb.org/movie/4232</t>
  </si>
  <si>
    <t>Scream 2 (1997)</t>
  </si>
  <si>
    <t>Scream 2</t>
  </si>
  <si>
    <t>/dORlVasiaDkJXTqt9bdH7nFNs6C.jpg</t>
  </si>
  <si>
    <t>https://image.tmdb.org/t/p/w342/dORlVasiaDkJXTqt9bdH7nFNs6C.jpg</t>
  </si>
  <si>
    <t>Two years after the Woodsboro murders, Sidney Prescott acclimates to college life while someone donning the Ghostface costume begins a new string of killings.</t>
  </si>
  <si>
    <t>https://www.themoviedb.org/movie/4233</t>
  </si>
  <si>
    <t>Scream 3 (2000)</t>
  </si>
  <si>
    <t>Scream 3</t>
  </si>
  <si>
    <t>/qpH8ToZVlFD1bakL04LkEKodyDI.jpg</t>
  </si>
  <si>
    <t>https://image.tmdb.org/t/p/w342/qpH8ToZVlFD1bakL04LkEKodyDI.jpg</t>
  </si>
  <si>
    <t>As bodies begin dropping around the Hollywood set of STAB 3, the third film based on the gruesome Woodsboro killings, Sidney and other survivors are once again terrorized by another Ghostface killer.</t>
  </si>
  <si>
    <t>https://www.themoviedb.org/movie/4234</t>
  </si>
  <si>
    <t>Scream 4 (2011)</t>
  </si>
  <si>
    <t>Scream 4</t>
  </si>
  <si>
    <t>/g0YcSd5QpgGXOjg9tl0if0soOkE.jpg</t>
  </si>
  <si>
    <t>https://image.tmdb.org/t/p/w342/g0YcSd5QpgGXOjg9tl0if0soOkE.jpg</t>
  </si>
  <si>
    <t>Fifteen years after the original Woodsboro murders, Sidney Prescott returns home to promote her new book about surviving trauma, only for a new Ghostface killer to emerge, targeting a new group of teens.</t>
  </si>
  <si>
    <t>https://www.themoviedb.org/movie/41446</t>
  </si>
  <si>
    <t>Seed of Chucky (2004)</t>
  </si>
  <si>
    <t>Seed of Chucky</t>
  </si>
  <si>
    <t>/vd9K93gQ9whMKjXzADZanxWpIXM.jpg</t>
  </si>
  <si>
    <t>https://image.tmdb.org/t/p/w342/vd9K93gQ9whMKjXzADZanxWpIXM.jpg</t>
  </si>
  <si>
    <t>This time around, Chucky and his homicidal honey, Tiffany, are brought back to life by their orphan offspring, Glen. Then the horror goes Hollywood as Chucky unleashes his own brand of murderous mayhem!</t>
  </si>
  <si>
    <t>https://www.themoviedb.org/movie/11249</t>
  </si>
  <si>
    <t>Semi-Pro (2008)</t>
  </si>
  <si>
    <t>Semi-Pro</t>
  </si>
  <si>
    <t>/7KJrvJf96UpkXsWVOjzCo1IbnW6.jpg</t>
  </si>
  <si>
    <t>https://image.tmdb.org/t/p/w342/7KJrvJf96UpkXsWVOjzCo1IbnW6.jpg</t>
  </si>
  <si>
    <t>Jackie Moon is the owner, promoter, coach, and star player of the Flint Michigan Tropics of the American Basketball Association (ABA), the worst team in the league. In 1976 before the ABA collapses, the NBA plans to merge with the best teams of the ABA at the end of the season. Only the top four teams will make the move and the worst teams will fold. If the Tropics want to make it to the NBA, Jackie Moon must rally his team and start winning.</t>
  </si>
  <si>
    <t>https://www.themoviedb.org/movie/13260</t>
  </si>
  <si>
    <t>Session 9 (2001)</t>
  </si>
  <si>
    <t>Session 9</t>
  </si>
  <si>
    <t>Horror, Mystery, Drama</t>
  </si>
  <si>
    <t>/A3Au37c3KJX29BDvldzGiYtaU5B.jpg</t>
  </si>
  <si>
    <t>https://image.tmdb.org/t/p/w342/A3Au37c3KJX29BDvldzGiYtaU5B.jpg</t>
  </si>
  <si>
    <t>Tensions rise within an asbestos cleaning crew as they work in an abandoned mental hospital with a horrific past that seems to be coming back.</t>
  </si>
  <si>
    <t>https://www.themoviedb.org/movie/10972</t>
  </si>
  <si>
    <t>Seven (1995)</t>
  </si>
  <si>
    <t>Seven</t>
  </si>
  <si>
    <t>Western, Action, Adventure</t>
  </si>
  <si>
    <t>/e5ToxOyJwuZD4VOfI0qEn5uIjeJ.jpg</t>
  </si>
  <si>
    <t>https://image.tmdb.org/t/p/w342/e5ToxOyJwuZD4VOfI0qEn5uIjeJ.jpg</t>
  </si>
  <si>
    <t>An oppressed Mexican peasant village hires seven gunfighters to help defend their homes.</t>
  </si>
  <si>
    <t>https://www.themoviedb.org/movie/966</t>
  </si>
  <si>
    <t>Shaun of the Dead (2004)</t>
  </si>
  <si>
    <t>Shaun of the Dead</t>
  </si>
  <si>
    <t>/dgXPhzNJH8HFTBjXPB177yNx6RI.jpg</t>
  </si>
  <si>
    <t>https://image.tmdb.org/t/p/w342/dgXPhzNJH8HFTBjXPB177yNx6RI.jpg</t>
  </si>
  <si>
    <t>Shaun lives a supremely uneventful life, which revolves around his girlfriend, his mother, and, above all, his local pub. This gentle routine is threatened when the dead return to life and make strenuous attempts to snack on ordinary Londoners.</t>
  </si>
  <si>
    <t>https://www.themoviedb.org/movie/747</t>
  </si>
  <si>
    <t>The Shining (1980)</t>
  </si>
  <si>
    <t>The Shining</t>
  </si>
  <si>
    <t>/uAR0AWqhQL1hQa69UDEbb2rE5Wx.jpg</t>
  </si>
  <si>
    <t>https://image.tmdb.org/t/p/w342/uAR0AWqhQL1hQa69UDEbb2rE5Wx.jpg</t>
  </si>
  <si>
    <t>Jack Torrance accepts a caretaker job at the Overlook Hotel, where he, along with his wife Wendy and their son Danny, must live isolated from the rest of the world for the winter. But they aren't prepared for the madness that lurks within.</t>
  </si>
  <si>
    <t>https://www.themoviedb.org/movie/694</t>
  </si>
  <si>
    <t>Shrooms (2007)</t>
  </si>
  <si>
    <t>Shrooms</t>
  </si>
  <si>
    <t>/pU4lcKfjf0U8pM036FHyoVGLev7.jpg</t>
  </si>
  <si>
    <t>https://image.tmdb.org/t/p/w342/pU4lcKfjf0U8pM036FHyoVGLev7.jpg</t>
  </si>
  <si>
    <t>A group of American teens comes to Ireland to visit a friend who takes them on a camping trip in search of the local, fabled magic mushrooms. When the psychedelics start taking hold, the panicked friends are attacked by ghostly creatures; but how can they determine whether what they are experiencing is reality or hallucination?</t>
  </si>
  <si>
    <t>https://www.themoviedb.org/movie/14456</t>
  </si>
  <si>
    <t>Shutter Island (2010)</t>
  </si>
  <si>
    <t>Shutter Island</t>
  </si>
  <si>
    <t>/nrmXQ0zcZUL8jFLrakWc90IR8z9.jpg</t>
  </si>
  <si>
    <t>https://image.tmdb.org/t/p/w342/nrmXQ0zcZUL8jFLrakWc90IR8z9.jpg</t>
  </si>
  <si>
    <t>World War II soldier-turned-U.S. Marshal Teddy Daniels investigates the disappearance of a patient from a hospital for the criminally insane, but his efforts are compromised by troubling visions and a mysterious doctor.</t>
  </si>
  <si>
    <t>https://www.themoviedb.org/movie/11324</t>
  </si>
  <si>
    <t>The Silence of the Lambs (1991)</t>
  </si>
  <si>
    <t>The Silence of the Lambs</t>
  </si>
  <si>
    <t>/uS9m8OBk1A8eM9I042bx8XXpqAq.jpg</t>
  </si>
  <si>
    <t>https://image.tmdb.org/t/p/w342/uS9m8OBk1A8eM9I042bx8XXpqAq.jpg</t>
  </si>
  <si>
    <t>Clarice Starling is a top student at the FBI's training academy.  Jack Crawford wants Clarice to interview Dr. Hannibal Lecter, a brilliant psychiatrist who is also a violent psychopath, serving life behind bars for various acts of murder and cannibalism.  Crawford believes that Lecter may have insight into a case and that Starling, as an attractive young woman, may be just the bait to draw him out.</t>
  </si>
  <si>
    <t>https://www.themoviedb.org/movie/274</t>
  </si>
  <si>
    <t>The Simpsons Movie (2007)</t>
  </si>
  <si>
    <t>The Simpsons Movie</t>
  </si>
  <si>
    <t>Animation, Comedy, Family</t>
  </si>
  <si>
    <t>/s3b8TZWwmkYc2KoJ5zk77qB6PzY.jpg</t>
  </si>
  <si>
    <t>https://image.tmdb.org/t/p/w342/s3b8TZWwmkYc2KoJ5zk77qB6PzY.jpg</t>
  </si>
  <si>
    <t>After Homer accidentally pollutes the town's water supply, Springfield is encased in a gigantic dome by the EPA and the Simpsons are declared fugitives.</t>
  </si>
  <si>
    <t>https://www.themoviedb.org/movie/35</t>
  </si>
  <si>
    <t>Sinister (2012)</t>
  </si>
  <si>
    <t>Sinister</t>
  </si>
  <si>
    <t>/nzx10sca3arCeYBAomHan4Q6wa1.jpg</t>
  </si>
  <si>
    <t>https://image.tmdb.org/t/p/w342/nzx10sca3arCeYBAomHan4Q6wa1.jpg</t>
  </si>
  <si>
    <t>True-crime writer Ellison Oswalt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</si>
  <si>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https://www.themoviedb.org/movie/82507</t>
  </si>
  <si>
    <t>Sinister 2 (2015)</t>
  </si>
  <si>
    <t>Sinister 2</t>
  </si>
  <si>
    <t>/hF6ORyihtAWHqKkIQI8BSpLQyON.jpg</t>
  </si>
  <si>
    <t>https://image.tmdb.org/t/p/w342/hF6ORyihtAWHqKkIQI8BSpLQyON.jpg</t>
  </si>
  <si>
    <t>A young mother and her twin sons move into a rural house that's marked for death.</t>
  </si>
  <si>
    <t>https://www.themoviedb.org/movie/283445</t>
  </si>
  <si>
    <t>Sinners (2025)</t>
  </si>
  <si>
    <t>Sinners</t>
  </si>
  <si>
    <t>/oucvKATkCI77ngtPjxAI9SAZW42.jpg</t>
  </si>
  <si>
    <t>https://image.tmdb.org/t/p/w342/oucvKATkCI77ngtPjxAI9SAZW42.jpg</t>
  </si>
  <si>
    <t>Trying to leave their troubled lives behind, twin brothers return to their hometown to start again, only to discover that an even greater evil is waiting to welcome them back.</t>
  </si>
  <si>
    <t>https://www.themoviedb.org/movie/1233413</t>
  </si>
  <si>
    <t>Smile (2022)</t>
  </si>
  <si>
    <t>Smile</t>
  </si>
  <si>
    <t>/aPqcQwu4VGEewPhagWNncDbJ9Xp.jpg</t>
  </si>
  <si>
    <t>https://image.tmdb.org/t/p/w342/aPqcQwu4VGEewPhagWNncDbJ9Xp.jpg</t>
  </si>
  <si>
    <t>After witnessing a bizarre, traumatic incident involving a patient, Dr. Rose Cotter starts experiencing frightening occurrences that she can't explain.</t>
  </si>
  <si>
    <t>https://www.themoviedb.org/movie/882598</t>
  </si>
  <si>
    <t>Sonic the Hedgehog (2020)</t>
  </si>
  <si>
    <t>Sonic the Hedgehog</t>
  </si>
  <si>
    <t>Action, Science Fiction, Comedy, Family</t>
  </si>
  <si>
    <t>/aQvJ5WPzZgYVDrxLX4R6cLJCEaQ.jpg</t>
  </si>
  <si>
    <t>https://image.tmdb.org/t/p/w342/aQvJ5WPzZgYVDrxLX4R6cLJCEaQ.jpg</t>
  </si>
  <si>
    <t>Powered with incredible speed, Sonic The Hedgehog embraces his new home on Earth. That is, until Sonic sparks the attention of super-uncool evil genius Dr. Robotnik. Now it’s super-villain vs. super-sonic in an all-out race across the globe to stop Robotnik from using Sonic’s unique power for world domination.</t>
  </si>
  <si>
    <t>https://www.themoviedb.org/movie/454626</t>
  </si>
  <si>
    <t>The Sorcerer's Apprentice (2010)</t>
  </si>
  <si>
    <t>The Sorcerer's Apprentice</t>
  </si>
  <si>
    <t>/b5pIUsGll0418NyfNA5eYCI9aoK.jpg</t>
  </si>
  <si>
    <t>https://image.tmdb.org/t/p/w342/b5pIUsGll0418NyfNA5eYCI9aoK.jpg</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</si>
  <si>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</si>
  <si>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https://www.themoviedb.org/movie/27022</t>
  </si>
  <si>
    <t>South Park: Bigger, Longer &amp; Uncut (1999)</t>
  </si>
  <si>
    <t>South Park: Bigger, Longer &amp; Uncut</t>
  </si>
  <si>
    <t>Animation, Comedy</t>
  </si>
  <si>
    <t>/tS0PedvA2mFO9VCHYwQpaU1K36U.jpg</t>
  </si>
  <si>
    <t>https://image.tmdb.org/t/p/w342/tS0PedvA2mFO9VCHYwQpaU1K36U.jpg</t>
  </si>
  <si>
    <t>In this feature film based on the hit animated series, the third graders of South Park sneak into an R-rated film by ultra-vulgar Canadian television personalities Terrance and Phillip, and emerge with expanded vocabularies that leave their parents and teachers scandalized. When outraged Americans try to censor the film, the controversy spirals into a call to wage war on Canada and Terrance and Phillip end up on death row, with the kids their only hope of rescue.</t>
  </si>
  <si>
    <t>https://www.themoviedb.org/movie/9473</t>
  </si>
  <si>
    <t>Spaceballs (1987)</t>
  </si>
  <si>
    <t>Spaceballs</t>
  </si>
  <si>
    <t>Comedy, Science Fiction</t>
  </si>
  <si>
    <t>/kNbaxEsnCyWBTfANVPHayujBsxp.jpg</t>
  </si>
  <si>
    <t>https://image.tmdb.org/t/p/w342/kNbaxEsnCyWBTfANVPHayujBsxp.jpg</t>
  </si>
  <si>
    <t>When the nefarious Dark Helmet hatches a plan to snatch Princess Vespa and steal her planet's air, space-bum-for-hire Lone Starr and his clueless sidekick fly to the rescue. Along the way, they meet Yogurt, who puts Lone Starr wise to the power of "The Schwartz." Can he master it in time to save the day?</t>
  </si>
  <si>
    <t>https://www.themoviedb.org/movie/957</t>
  </si>
  <si>
    <t>Spider-Man (2002)</t>
  </si>
  <si>
    <t>Spider-Man</t>
  </si>
  <si>
    <t>/kjdJntyBeEvqm9w97QGBdxPptzj.jpg</t>
  </si>
  <si>
    <t>https://image.tmdb.org/t/p/w342/kjdJntyBeEvqm9w97QGBdxPptzj.jpg</t>
  </si>
  <si>
    <t>After being bitten by a genetically altered spider at Oscorp, nerdy but endearing high school student Peter Parker is endowed with amazing powers to become the superhero known as Spider-Man.</t>
  </si>
  <si>
    <t>https://www.themoviedb.org/movie/557</t>
  </si>
  <si>
    <t>Spider-Man 2 (2004)</t>
  </si>
  <si>
    <t>Spider-Man 2</t>
  </si>
  <si>
    <t>/aGuvNAaaZuWXYQQ6N2v7DeuP6mB.jpg</t>
  </si>
  <si>
    <t>https://image.tmdb.org/t/p/w342/aGuvNAaaZuWXYQQ6N2v7DeuP6mB.jpg</t>
  </si>
  <si>
    <t>Peter Parker is going through a major identity crisis. Burned out from being Spider-Man, he decides to shelve his superhero alter ego, which leaves the city suffering in the wake of carnage left by the evil Doc Ock. In the meantime, Parker still can't act on his feelings for Mary Jane Watson, a girl he's loved since childhood. A certain anger begins to brew in his best friend Harry Osborn as well...</t>
  </si>
  <si>
    <t>https://www.themoviedb.org/movie/558</t>
  </si>
  <si>
    <t>Spider-Man 3 (2007)</t>
  </si>
  <si>
    <t>Spider-Man 3</t>
  </si>
  <si>
    <t>/qFmwhVUoUSXjkKRmca5yGDEXBIj.jpg</t>
  </si>
  <si>
    <t>https://image.tmdb.org/t/p/w342/qFmwhVUoUSXjkKRmca5yGDEXBIj.jpg</t>
  </si>
  <si>
    <t>The seemingly invincible Spider-Man goes up against an all-new crop of villains—including the shape-shifting Sandman. While Spider-Man’s superpowers are altered by an alien organism, his alter ego, Peter Parker, deals with nemesis Eddie Brock and also gets caught up in a love triangle.</t>
  </si>
  <si>
    <t>https://www.themoviedb.org/movie/559</t>
  </si>
  <si>
    <t>Stan Helsing (2009)</t>
  </si>
  <si>
    <t>Stan Helsing</t>
  </si>
  <si>
    <t>/qDlmKahejt0NoQzw65tnLayEhHZ.jpg</t>
  </si>
  <si>
    <t>https://image.tmdb.org/t/p/w342/qDlmKahejt0NoQzw65tnLayEhHZ.jpg</t>
  </si>
  <si>
    <t>A spoof on many horror movie series. Ending his shift at the video rental, Stan's picked up by his BFF and 2 cute girls, all going to a Halloween party. Will they even get there?</t>
  </si>
  <si>
    <t>https://www.themoviedb.org/movie/23988</t>
  </si>
  <si>
    <t>Star Wars: Episode I - The Phantom Menace (1999)</t>
  </si>
  <si>
    <t>Star Wars: Episode I - The Phantom Menace</t>
  </si>
  <si>
    <t>/6wkfovpn7Eq8dYNKaG5PY3q2oq6.jpg</t>
  </si>
  <si>
    <t>https://image.tmdb.org/t/p/w342/6wkfovpn7Eq8dYNKaG5PY3q2oq6.jpg</t>
  </si>
  <si>
    <t>Anakin Skywalker, a young slave strong with the Force, is discovered on Tatooine. Meanwhile, the evil Sith have returned, enacting their plot for revenge against the Jedi.</t>
  </si>
  <si>
    <t>https://www.themoviedb.org/movie/1893</t>
  </si>
  <si>
    <t>Star Wars: Episode II - Attack of the Clones (2002)</t>
  </si>
  <si>
    <t>Star Wars: Episode II - Attack of the Clones</t>
  </si>
  <si>
    <t>/oZNPzxqM2s5DyVWab09NTQScDQt.jpg</t>
  </si>
  <si>
    <t>https://image.tmdb.org/t/p/w342/oZNPzxqM2s5DyVWab09NTQScDQt.jpg</t>
  </si>
  <si>
    <t>Following an assassination attempt on Senator Padmé Amidala, Jedi Knights Anakin Skywalker and Obi-Wan Kenobi investigate a mysterious plot into the heart of the Separatist movement and the beginning of the Clone Wars.</t>
  </si>
  <si>
    <t>https://www.themoviedb.org/movie/1894</t>
  </si>
  <si>
    <t>Star Wars: Episode III - Revenge of the Sith (2005)</t>
  </si>
  <si>
    <t>Star Wars: Episode III - Revenge of the Sith</t>
  </si>
  <si>
    <t>/xfSAoBEm9MNBjmlNcDYLvLSMlnq.jpg</t>
  </si>
  <si>
    <t>https://image.tmdb.org/t/p/w342/xfSAoBEm9MNBjmlNcDYLvLSMlnq.jpg</t>
  </si>
  <si>
    <t>When the sinister Sith unveil a thousand-year-old plot to rule the galaxy, the Republic crumbles and from its ashes rises the evil Galactic Empire. Jedi hero Anakin Skywalker must choose a side.</t>
  </si>
  <si>
    <t>https://www.themoviedb.org/movie/1895</t>
  </si>
  <si>
    <t>Star Wars: Episode IV - A New Hope (1977)</t>
  </si>
  <si>
    <t>Star Wars: Episode IV - A New Hope</t>
  </si>
  <si>
    <t>/6FfCtAuVAW8XJjZ7eWeLibRLWTw.jpg</t>
  </si>
  <si>
    <t>https://image.tmdb.org/t/p/w342/6FfCtAuVAW8XJjZ7eWeLibRLWTw.jpg</t>
  </si>
  <si>
    <t>Princess Leia is captured and held hostage by the evil Imperial forces in their effort to take over the galactic Empire. Venturesome Luke Skywalker and dashing captain Han Solo team together with the loveable robot duo R2-D2 and C-3PO to rescue the beautiful princess and restore peace and justice in the Empire.</t>
  </si>
  <si>
    <t>https://www.themoviedb.org/movie/11</t>
  </si>
  <si>
    <t>Star Wars: Episode V - The Empire Strikes Back (1980)</t>
  </si>
  <si>
    <t>Star Wars: Episode V - The Empire Strikes Back</t>
  </si>
  <si>
    <t>/nNAeTmF4CtdSgMDplXTDPOpYzsX.jpg</t>
  </si>
  <si>
    <t>https://image.tmdb.org/t/p/w342/nNAeTmF4CtdSgMDplXTDPOpYzsX.jpg</t>
  </si>
  <si>
    <t>The epic saga continues as Luke Skywalker, in hopes of defeating the evil Galactic Empire, learns the ways of the Jedi from aging master Yoda. But Darth Vader is more determined than ever to capture Luke. Meanwhile, rebel leader Princess Leia, cocky Han Solo, Chewbacca, and droids C-3PO and R2-D2 are thrown into various stages of capture, betrayal and despair.</t>
  </si>
  <si>
    <t>https://www.themoviedb.org/movie/1891</t>
  </si>
  <si>
    <t>Star Wars: Episode VI - Return of the Jedi (1983)</t>
  </si>
  <si>
    <t>Star Wars: Episode VI - Return of the Jedi</t>
  </si>
  <si>
    <t>/jQYlydvHm3kUix1f8prMucrplhm.jpg</t>
  </si>
  <si>
    <t>https://image.tmdb.org/t/p/w342/jQYlydvHm3kUix1f8prMucrplhm.jpg</t>
  </si>
  <si>
    <t>Luke Skywalker leads a mission to rescue his friend Han Solo from the clutches of Jabba the Hutt, the Emperor prepares to crush the Rebellion with a more powerful Death Star, and the Rebel fleet mounts a massive attack on the space station. Luke Skywalker confronts Darth Vader in a final climactic duel before the evil Emperor.</t>
  </si>
  <si>
    <t>https://www.themoviedb.org/movie/1892</t>
  </si>
  <si>
    <t>The Strangers (2008)</t>
  </si>
  <si>
    <t>The Strangers</t>
  </si>
  <si>
    <t>/gwsg4qFmLOvlhwXj4OZuxfFUdP0.jpg</t>
  </si>
  <si>
    <t>https://image.tmdb.org/t/p/w342/gwsg4qFmLOvlhwXj4OZuxfFUdP0.jpg</t>
  </si>
  <si>
    <t>After a 4 a.m. knock at the door and haunting voices, Kristen McKay and James Hoyt’s remote getaway becomes a psychological night of terror as three masked strangers invade. Now they must go far beyond what they thought themselves capable of if they hope to survive.</t>
  </si>
  <si>
    <t>https://www.themoviedb.org/movie/10665</t>
  </si>
  <si>
    <t>The Substance (2024)</t>
  </si>
  <si>
    <t>The Substance</t>
  </si>
  <si>
    <t>/lqoMzCcZYEFK729d6qzt349fB4o.jpg</t>
  </si>
  <si>
    <t>https://image.tmdb.org/t/p/w342/lqoMzCcZYEFK729d6qzt349fB4o.jpg</t>
  </si>
  <si>
    <t>A fading celebrity decides to use a black market drug, a cell-replicating substance that temporarily creates a younger, better version of herself.</t>
  </si>
  <si>
    <t>https://www.themoviedb.org/movie/933260</t>
  </si>
  <si>
    <t>Summer of 84 (2018)</t>
  </si>
  <si>
    <t>Summer of 84</t>
  </si>
  <si>
    <t>Drama, Horror, Mystery</t>
  </si>
  <si>
    <t>/zastd8zM2ftOJpC7Y6gRFqAB7r.jpg</t>
  </si>
  <si>
    <t>https://image.tmdb.org/t/p/w342/zastd8zM2ftOJpC7Y6gRFqAB7r.jpg</t>
  </si>
  <si>
    <t>After suspecting that their police officer neighbor is a serial killer, a group of teenage friends spend their summer spying on him and gathering evidence, but as they get closer to discovering the truth, things get dangerous.</t>
  </si>
  <si>
    <t>https://www.themoviedb.org/movie/470229</t>
  </si>
  <si>
    <t>Super 8 (2011)</t>
  </si>
  <si>
    <t>Super 8</t>
  </si>
  <si>
    <t>Thriller, Science Fiction, Mystery</t>
  </si>
  <si>
    <t>/pUWIjaMMYJjeBm5bJyE3mIXdQ62.jpg</t>
  </si>
  <si>
    <t>https://image.tmdb.org/t/p/w342/pUWIjaMMYJjeBm5bJyE3mIXdQ62.jpg</t>
  </si>
  <si>
    <t>In late 1970s Ohio, a group of friends filming a homemade zombie movie witness a devastating train derailment. Soon after, their quiet town is gripped by unexplained disappearances, strange phenomena, and a growing sense of fear, as they uncover that something terrifying has been set loose.</t>
  </si>
  <si>
    <t>https://www.themoviedb.org/movie/37686</t>
  </si>
  <si>
    <t>The Super Mario Galaxy Movie (2026)</t>
  </si>
  <si>
    <t>The Super Mario Galaxy Movie</t>
  </si>
  <si>
    <t>Family, Comedy, Adventure, Fantasy, Animation</t>
  </si>
  <si>
    <t>/eJGWx219ZcEMVQJhAgMiqo8tYY.jpg</t>
  </si>
  <si>
    <t>https://image.tmdb.org/t/p/w342/eJGWx219ZcEMVQJhAgMiqo8tYY.jpg</t>
  </si>
  <si>
    <t>Having thwarted Bowser's previous plot to marry Princess Peach, Mario and Luigi now face a fresh threat in Bowser Jr., who is determined to liberate his father from captivity and restore the family legacy. Alongside companions new and old, the brothers travel across the stars to stop the young heir's crusade.</t>
  </si>
  <si>
    <t>https://www.themoviedb.org/movie/1226863</t>
  </si>
  <si>
    <t>Superbad (2007)</t>
  </si>
  <si>
    <t>Superbad</t>
  </si>
  <si>
    <t>/ek8e8txUyUwd2BNqj6lFEerJfbq.jpg</t>
  </si>
  <si>
    <t>https://image.tmdb.org/t/p/w342/ek8e8txUyUwd2BNqj6lFEerJfbq.jpg</t>
  </si>
  <si>
    <t>Two co-dependent high school seniors are forced to deal with separation anxiety after their plan to stage a booze-soaked party goes awry.</t>
  </si>
  <si>
    <t>https://www.themoviedb.org/movie/8363</t>
  </si>
  <si>
    <t>Superman (2025)</t>
  </si>
  <si>
    <t>Superman</t>
  </si>
  <si>
    <t>/ldyfo0BKmz5rWtJJKCvwaNS4cJT.jpg</t>
  </si>
  <si>
    <t>https://image.tmdb.org/t/p/w342/ldyfo0BKmz5rWtJJKCvwaNS4cJT.jpg</t>
  </si>
  <si>
    <t>Superman, a journalist in Metropolis, embarks on a journey to reconcile his Kryptonian heritage with his human upbringing as Clark Kent.</t>
  </si>
  <si>
    <t>https://www.themoviedb.org/movie/1061474</t>
  </si>
  <si>
    <t>Taken 2 (2012)</t>
  </si>
  <si>
    <t>Taken 2</t>
  </si>
  <si>
    <t>/yzAlcuJhpnxRPjaj7AHBRbNPQCJ.jpg</t>
  </si>
  <si>
    <t>https://image.tmdb.org/t/p/w342/yzAlcuJhpnxRPjaj7AHBRbNPQCJ.jpg</t>
  </si>
  <si>
    <t>In Istanbul, retired CIA operative Bryan Mills and his wife are taken hostage by the father of a kidnapper Mills killed while rescuing his daughter.</t>
  </si>
  <si>
    <t>https://www.themoviedb.org/movie/82675</t>
  </si>
  <si>
    <t>The Taking of Deborah Logan (2014)</t>
  </si>
  <si>
    <t>The Taking of Deborah Logan</t>
  </si>
  <si>
    <t>/77i7EBUyQKOUiZeYQ5tWDGQb0AI.jpg</t>
  </si>
  <si>
    <t>https://image.tmdb.org/t/p/w342/77i7EBUyQKOUiZeYQ5tWDGQb0AI.jpg</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</si>
  <si>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</si>
  <si>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https://www.themoviedb.org/movie/297608</t>
  </si>
  <si>
    <t>Talk to Me (2022)</t>
  </si>
  <si>
    <t>Talk to Me</t>
  </si>
  <si>
    <t>/kdPMUMJzyYAc4roD52qavX0nLIC.jpg</t>
  </si>
  <si>
    <t>https://image.tmdb.org/t/p/w342/kdPMUMJzyYAc4roD52qavX0nLIC.jpg</t>
  </si>
  <si>
    <t>When a group of friends discover how to conjure spirits using an embalmed hand, they become hooked on the new thrill, until one of them goes too far and unleashes terrifying supernatural forces.</t>
  </si>
  <si>
    <t>https://www.themoviedb.org/movie/1008042</t>
  </si>
  <si>
    <t>Tangled (2010)</t>
  </si>
  <si>
    <t>Tangled</t>
  </si>
  <si>
    <t>/ym7Kst6a4uodryxqbGOxmewF235.jpg</t>
  </si>
  <si>
    <t>https://image.tmdb.org/t/p/w342/ym7Kst6a4uodryxqbGOxmewF235.jpg</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</si>
  <si>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</si>
  <si>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https://www.themoviedb.org/movie/38757</t>
  </si>
  <si>
    <t>Team America: World Police (2004)</t>
  </si>
  <si>
    <t>Team America: World Police</t>
  </si>
  <si>
    <t>Adventure, Action, Comedy</t>
  </si>
  <si>
    <t>/m1Q2VFe1DVVbjfu1LDZe7tlp9yb.jpg</t>
  </si>
  <si>
    <t>https://image.tmdb.org/t/p/w342/m1Q2VFe1DVVbjfu1LDZe7tlp9yb.jpg</t>
  </si>
  <si>
    <t>When North Korean ruler Kim Jong-il orchestrates a global terrorist plot, it's up to the heavily armed, highly specialized Team America unit to stop his dastardly scheme. The group, which has recruited troubled Broadway actor Gary Johnston, not only has to face off against Jong-il, but they must also contend with the Film Actors Guild, a cadre of Hollywood liberals at odds with Team America's 'policing the world' tactics.</t>
  </si>
  <si>
    <t>https://www.themoviedb.org/movie/3989</t>
  </si>
  <si>
    <t>Ted 2 (2015)</t>
  </si>
  <si>
    <t>Ted 2</t>
  </si>
  <si>
    <t>/38C91I7Xft0gyY7BITm8i4yvuRb.jpg</t>
  </si>
  <si>
    <t>https://image.tmdb.org/t/p/w342/38C91I7Xft0gyY7BITm8i4yvuRb.jpg</t>
  </si>
  <si>
    <t>Newlywed couple Ted and Tami-Lynn want to have a baby, but in order to qualify to be a parent, Ted will have to prove he's a person in a court of law.</t>
  </si>
  <si>
    <t>https://www.themoviedb.org/movie/214756</t>
  </si>
  <si>
    <t>Tenacious D in The Pick of Destiny (2006)</t>
  </si>
  <si>
    <t>Tenacious D in The Pick of Destiny</t>
  </si>
  <si>
    <t>Comedy, Music, Fantasy, Adventure</t>
  </si>
  <si>
    <t>/7NmDIj5I1OFOZfYFnS3uWtM7WMO.jpg</t>
  </si>
  <si>
    <t>https://image.tmdb.org/t/p/w342/7NmDIj5I1OFOZfYFnS3uWtM7WMO.jpg</t>
  </si>
  <si>
    <t>In Venice Beach, naive Midwesterner JB bonds with local slacker KG and they form the rock band Tenacious D. Setting out to become the world's greatest band is no easy feat, so they set out to steal what could be the answer to their prayers... a magical guitar pick housed in a rock-and-roll museum some 300 miles away.</t>
  </si>
  <si>
    <t>https://www.themoviedb.org/movie/2179</t>
  </si>
  <si>
    <t>Terminator 3: Rise of the Machines (2003)</t>
  </si>
  <si>
    <t>Terminator 3: Rise of the Machines</t>
  </si>
  <si>
    <t>/vvevzdYIrk2636maNW4qeWmlPFG.jpg</t>
  </si>
  <si>
    <t>https://image.tmdb.org/t/p/w342/vvevzdYIrk2636maNW4qeWmlPFG.jpg</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</si>
  <si>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 just like he promised.</t>
  </si>
  <si>
    <t>https://www.themoviedb.org/movie/296</t>
  </si>
  <si>
    <t>Terrified (2017)</t>
  </si>
  <si>
    <t>Terrified</t>
  </si>
  <si>
    <t>/eMP4F0POBgrB4icn6XgYeLLIrld.jpg</t>
  </si>
  <si>
    <t>https://image.tmdb.org/t/p/w342/eMP4F0POBgrB4icn6XgYeLLIrld.jpg</t>
  </si>
  <si>
    <t>Police commissioner Funes and three researchers of supernatural phenomena investigate inexplicable events that are occurring in the suburbs of Buenos Aires.</t>
  </si>
  <si>
    <t>https://www.themoviedb.org/movie/489430</t>
  </si>
  <si>
    <t>Terrifier (2016)</t>
  </si>
  <si>
    <t>Terrifier</t>
  </si>
  <si>
    <t>/fjXqhGmaeQpB73WerhrYU6HlyV5.jpg</t>
  </si>
  <si>
    <t>https://image.tmdb.org/t/p/w342/fjXqhGmaeQpB73WerhrYU6HlyV5.jpg</t>
  </si>
  <si>
    <t>A maniacal clown named Art terrorizes three young women on Halloween night and everyone else who stands in his way.</t>
  </si>
  <si>
    <t>https://www.themoviedb.org/movie/420634</t>
  </si>
  <si>
    <t>Terrifier 2 (2022)</t>
  </si>
  <si>
    <t>Terrifier 2</t>
  </si>
  <si>
    <t>/qEAlwXbYk6IHA4ztoS2XFFaa7Xo.jpg</t>
  </si>
  <si>
    <t>https://image.tmdb.org/t/p/w342/qEAlwXbYk6IHA4ztoS2XFFaa7Xo.jpg</t>
  </si>
  <si>
    <t>A year after the Miles County massacre, Art the Clown is resurrected by a sinister entity. Art returns home, where he must hunt down and destroy teenage Sienna and her younger brother Jonathan on Halloween. As the body count rises, the siblings fight to stay alive while uncovering the true nature of Art's evil intent.</t>
  </si>
  <si>
    <t>https://www.themoviedb.org/movie/663712</t>
  </si>
  <si>
    <t>Terrifier 3 (2024)</t>
  </si>
  <si>
    <t>Terrifier 3</t>
  </si>
  <si>
    <t>/ju10W5gl3PPK3b7TjEmVOZap51I.jpg</t>
  </si>
  <si>
    <t>https://image.tmdb.org/t/p/w342/ju10W5gl3PPK3b7TjEmVOZap51I.jpg</t>
  </si>
  <si>
    <t>Five years after surviving Art the Clown's Halloween massacre, Sienna and Jonathan are still struggling to rebuild their shattered lives. As the holiday season approaches, they try to embrace the Christmas spirit and leave the horrors of the past behind. But just when they think they're safe, Art returns, determined to turn their holiday cheer into a new nightmare. The festive season quickly unravels as Art unleashes his twisted brand of terror, proving that no holiday is safe.</t>
  </si>
  <si>
    <t>https://www.themoviedb.org/movie/1034541</t>
  </si>
  <si>
    <t>The Texas Chain Saw Massacre (1974)</t>
  </si>
  <si>
    <t>The Texas Chain Saw Massacre</t>
  </si>
  <si>
    <t>/mpgkRPH1GNkMCgdPk2OMyHzAks7.jpg</t>
  </si>
  <si>
    <t>https://image.tmdb.org/t/p/w342/mpgkRPH1GNkMCgdPk2OMyHzAks7.jpg</t>
  </si>
  <si>
    <t>Five friends head out to rural Texas to visit the grave of a grandfather. On the way, they stumble across what appears to be a deserted house, only to discover something sinister within. Something armed with a chainsaw.</t>
  </si>
  <si>
    <t>https://www.themoviedb.org/movie/30497</t>
  </si>
  <si>
    <t>The Texas Chainsaw Massacre (2003)</t>
  </si>
  <si>
    <t>The Texas Chainsaw Massacre</t>
  </si>
  <si>
    <t>/781px1eOtfVt1RdIsL4Dt1s3x7R.jpg</t>
  </si>
  <si>
    <t>https://image.tmdb.org/t/p/w342/781px1eOtfVt1RdIsL4Dt1s3x7R.jpg</t>
  </si>
  <si>
    <t>After picking up a traumatized young hitchhiker, five friends find themselves stalked and hunted by a chainsaw-wielding killer and his family of equally psychopathic killers.</t>
  </si>
  <si>
    <t>https://www.themoviedb.org/movie/9373</t>
  </si>
  <si>
    <t>That's My Boy (2012)</t>
  </si>
  <si>
    <t>That's My Boy</t>
  </si>
  <si>
    <t>/oaLhdRsZ5Mq8VfZtA4Wlvjzzn0X.jpg</t>
  </si>
  <si>
    <t>https://image.tmdb.org/t/p/w342/oaLhdRsZ5Mq8VfZtA4Wlvjzzn0X.jpg</t>
  </si>
  <si>
    <t>While in his teens, Donny fathered a son, Todd, and raised him as a single parent up until Todd's 18th birthday. Now, after not seeing each other for years, Todd's world comes crashing down when Donny resurfaces just before Todd's wedding.</t>
  </si>
  <si>
    <t>https://www.themoviedb.org/movie/87428</t>
  </si>
  <si>
    <t>Thor: The Dark World (2013)</t>
  </si>
  <si>
    <t>Thor: The Dark World</t>
  </si>
  <si>
    <t>/wp6OxE4poJ4G7c0U2ZIXasTSMR7.jpg</t>
  </si>
  <si>
    <t>https://image.tmdb.org/t/p/w342/wp6OxE4poJ4G7c0U2ZIXasTSMR7.jpg</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</si>
  <si>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</si>
  <si>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https://www.themoviedb.org/movie/76338</t>
  </si>
  <si>
    <t>Tomorrowland (2015)</t>
  </si>
  <si>
    <t>Tomorrowland</t>
  </si>
  <si>
    <t>Adventure, Family, Mystery, Science Fiction</t>
  </si>
  <si>
    <t>/kziYpr5Nfw60P0My8aj1sgCEqed.jpg</t>
  </si>
  <si>
    <t>https://image.tmdb.org/t/p/w342/kziYpr5Nfw60P0My8aj1sgCEqed.jpg</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</si>
  <si>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</si>
  <si>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https://www.themoviedb.org/movie/158852</t>
  </si>
  <si>
    <t>Trick 'r Treat (2007)</t>
  </si>
  <si>
    <t>Trick 'r Treat</t>
  </si>
  <si>
    <t>Horror, Fantasy, Comedy</t>
  </si>
  <si>
    <t>/w0nmol4g7n6MFfhfphV7GzHHYjB.jpg</t>
  </si>
  <si>
    <t>https://image.tmdb.org/t/p/w342/w0nmol4g7n6MFfhfphV7GzHHYjB.jpg</t>
  </si>
  <si>
    <t>Four interwoven stories that occur on Halloween: an everyday high school principal has a secret life as a serial killer; a college virgin might have just met the one guy for her; a group of teenagers pull a mean prank, and a bitter old recluse receives an uninvited guest.</t>
  </si>
  <si>
    <t>https://www.themoviedb.org/movie/23202</t>
  </si>
  <si>
    <t>Tropic Thunder (2008)</t>
  </si>
  <si>
    <t>Tropic Thunder</t>
  </si>
  <si>
    <t>Action, Comedy, Adventure, War</t>
  </si>
  <si>
    <t>/zAurB9mNxfYRoVrVjAJJwGV3sPg.jpg</t>
  </si>
  <si>
    <t>https://image.tmdb.org/t/p/w342/zAurB9mNxfYRoVrVjAJJwGV3sPg.jpg</t>
  </si>
  <si>
    <t>A group of self-absorbed actors set out to make the most expensive war film ever. After ballooning costs force the studio to cancel the movie, the frustrated director refuses to stop shooting, leading his cast into the jungles of Southeast Asia, where they encounter real bad guys.</t>
  </si>
  <si>
    <t>https://www.themoviedb.org/movie/7446</t>
  </si>
  <si>
    <t>Tucker &amp; Dale vs. Evil (2010)</t>
  </si>
  <si>
    <t>Tucker &amp; Dale vs. Evil</t>
  </si>
  <si>
    <t>/8shwLEDzajJGSfLgbpac8x8xn1U.jpg</t>
  </si>
  <si>
    <t>https://image.tmdb.org/t/p/w342/8shwLEDzajJGSfLgbpac8x8xn1U.jpg</t>
  </si>
  <si>
    <t>Two hillbillies are suspected of being killers by a group of paranoid college kids camping near the duo's West Virginian cabin. As the body count climbs, so does the fear and confusion as the college kids try to seek revenge against the pair.</t>
  </si>
  <si>
    <t>https://www.themoviedb.org/movie/46838</t>
  </si>
  <si>
    <t>The Unborn (2009)</t>
  </si>
  <si>
    <t>The Unborn</t>
  </si>
  <si>
    <t>/42H2aaD5UubsHyWt6zfrFMRP8y1.jpg</t>
  </si>
  <si>
    <t>https://image.tmdb.org/t/p/w342/42H2aaD5UubsHyWt6zfrFMRP8y1.jpg</t>
  </si>
  <si>
    <t>A young woman fights the spirit that is slowly taking possession of her.</t>
  </si>
  <si>
    <t>https://www.themoviedb.org/movie/13788</t>
  </si>
  <si>
    <t>Upstream Color (2013)</t>
  </si>
  <si>
    <t>Upstream Color</t>
  </si>
  <si>
    <t>/tQ4IWxSYIgZVWnQwLCG8r6sUraU.jpg</t>
  </si>
  <si>
    <t>https://image.tmdb.org/t/p/w342/tQ4IWxSYIgZVWnQwLCG8r6sUraU.jpg</t>
  </si>
  <si>
    <t>A man and woman are drawn together, entangled in the lifecycle of an ageless organism. Identity becomes an illusion as they struggle to assemble the loose fragments of wrecked lives.</t>
  </si>
  <si>
    <t>https://www.themoviedb.org/movie/145197</t>
  </si>
  <si>
    <t>Urban Legends: Bloody Mary (2005)</t>
  </si>
  <si>
    <t>Urban Legends: Bloody Mary</t>
  </si>
  <si>
    <t>/Avlo5JZOBXWx4oymtkXfCaomV5Y.jpg</t>
  </si>
  <si>
    <t>https://image.tmdb.org/t/p/w342/Avlo5JZOBXWx4oymtkXfCaomV5Y.jpg</t>
  </si>
  <si>
    <t>On a prom-night dare, a trio of high school friends chant an incantation, unleashing an evil spirit from the past with deadly consequences.</t>
  </si>
  <si>
    <t>https://www.themoviedb.org/movie/10292</t>
  </si>
  <si>
    <t>Us (2019)</t>
  </si>
  <si>
    <t>Us</t>
  </si>
  <si>
    <t>/ux2dU1jQ2ACIMShzB3yP93Udpzc.jpg</t>
  </si>
  <si>
    <t>https://image.tmdb.org/t/p/w342/ux2dU1jQ2ACIMShzB3yP93Udpzc.jpg</t>
  </si>
  <si>
    <t>Husband and wife Gabe and Adelaide Wilson take their kids to their beach house expecting to unplug and unwind with friends. But as night descends, their serenity turns to tension and chaos when some shocking visitors arrive uninvited.</t>
  </si>
  <si>
    <t>https://www.themoviedb.org/movie/458723</t>
  </si>
  <si>
    <t>V/H/S/2 (2013)</t>
  </si>
  <si>
    <t>V/H/S/2</t>
  </si>
  <si>
    <t>/o4hcWsHaHaNQ9BBReOxLvYJNRhA.jpg</t>
  </si>
  <si>
    <t>https://image.tmdb.org/t/p/w342/o4hcWsHaHaNQ9BBReOxLvYJNRhA.jpg</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</si>
  <si>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</si>
  <si>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https://www.themoviedb.org/movie/159117</t>
  </si>
  <si>
    <t>V/H/S/85 (2023)</t>
  </si>
  <si>
    <t>V/H/S/85</t>
  </si>
  <si>
    <t>/aM3wnZTKEuPLDwxuMWcHDibOkiw.jpg</t>
  </si>
  <si>
    <t>https://image.tmdb.org/t/p/w342/aM3wnZTKEuPLDwxuMWcHDibOkiw.jpg</t>
  </si>
  <si>
    <t>Unveiled through a made-for-TV documentary, five chilling tales of found footage horror emerge to take viewers on a gore-filled journey through the grim underbelly of the forgotten 1980s.</t>
  </si>
  <si>
    <t>https://www.themoviedb.org/movie/1032948</t>
  </si>
  <si>
    <t>V/H/S/94 (2021)</t>
  </si>
  <si>
    <t>V/H/S/94</t>
  </si>
  <si>
    <t>/9fSogEkqDfJQTuGHsTFloQz3Tw8.jpg</t>
  </si>
  <si>
    <t>https://image.tmdb.org/t/p/w342/9fSogEkqDfJQTuGHsTFloQz3Tw8.jpg</t>
  </si>
  <si>
    <t>After the discovery of a mysterious VHS tape, a brutish police SWAT team launches a high-intensity raid on a remote warehouse, only to discover a sinister cult compound whose collection of pre-recorded material uncovers a nightmarish conspiracy.</t>
  </si>
  <si>
    <t>https://www.themoviedb.org/movie/753453</t>
  </si>
  <si>
    <t>V/H/S/99 (2022)</t>
  </si>
  <si>
    <t>V/H/S/99</t>
  </si>
  <si>
    <t>/1bOMmFtnykBmvhFcx8zdXO6bCAa.jpg</t>
  </si>
  <si>
    <t>https://image.tmdb.org/t/p/w342/1bOMmFtnykBmvhFcx8zdXO6bCAa.jpg</t>
  </si>
  <si>
    <t>A thirsty teenager's home video leads to a series of horrifying revelations, harkening back to the final punk rock analog days of VHS, while taking one giant leap forward into the hellish new millennium.</t>
  </si>
  <si>
    <t>https://www.themoviedb.org/movie/1005776</t>
  </si>
  <si>
    <t>V/H/S/Beyond (2024)</t>
  </si>
  <si>
    <t>V/H/S/Beyond</t>
  </si>
  <si>
    <t>/wXaf6VGNHIGU7qivapGOF7o4o4N.jpg</t>
  </si>
  <si>
    <t>https://image.tmdb.org/t/p/w342/wXaf6VGNHIGU7qivapGOF7o4o4N.jpg</t>
  </si>
  <si>
    <t>The infinite playground of forbidden worlds and dangerous lifeforms offered by the sci-fi horror genre will lead to the biggest, maddest, bloodiest V/H/S ever.</t>
  </si>
  <si>
    <t>https://www.themoviedb.org/movie/1190868</t>
  </si>
  <si>
    <t>Vacancy (2007)</t>
  </si>
  <si>
    <t>Vacancy</t>
  </si>
  <si>
    <t>/9nlJVsbebi1onTwGyJ3UHDNttID.jpg</t>
  </si>
  <si>
    <t>https://image.tmdb.org/t/p/w342/9nlJVsbebi1onTwGyJ3UHDNttID.jpg</t>
  </si>
  <si>
    <t>A young married couple becomes stranded at an isolated motel and find hidden video cameras in their room. They realize that unless they escape, they'll be the next victims of a snuff film.</t>
  </si>
  <si>
    <t>https://www.themoviedb.org/movie/10294</t>
  </si>
  <si>
    <t>A Very Harold &amp; Kumar Christmas (2011)</t>
  </si>
  <si>
    <t>A Very Harold &amp; Kumar Christmas</t>
  </si>
  <si>
    <t>/cncxLilRHKayn8VKhzjAMHkbN4f.jpg</t>
  </si>
  <si>
    <t>https://image.tmdb.org/t/p/w342/cncxLilRHKayn8VKhzjAMHkbN4f.jpg</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</si>
  <si>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</si>
  <si>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https://www.themoviedb.org/movie/55465</t>
  </si>
  <si>
    <t>Videodrome (1983)</t>
  </si>
  <si>
    <t>Videodrome</t>
  </si>
  <si>
    <t>/qqqkiZSU9EBGZ1KiDmfn07S7qvv.jpg</t>
  </si>
  <si>
    <t>https://image.tmdb.org/t/p/w342/qqqkiZSU9EBGZ1KiDmfn07S7qvv.jpg</t>
  </si>
  <si>
    <t>As the president of a trashy TV channel, Max Renn is desperate for new programming to attract viewers. When he happens upon "Videodrome," a TV show dedicated to gratuitous torture and punishment, Max sees a potential hit and broadcasts the show on his channel. However, after his girlfriend auditions for the show and never returns, Max investigates the truth behind Videodrome and discovers that the graphic violence may not be as fake as he thought.</t>
  </si>
  <si>
    <t>https://www.themoviedb.org/movie/837</t>
  </si>
  <si>
    <t>The Wailing (2016)</t>
  </si>
  <si>
    <t>The Wailing</t>
  </si>
  <si>
    <t>/RbymxgEM5SpDfO2Io2JMFG10Vi.jpg</t>
  </si>
  <si>
    <t>https://image.tmdb.org/t/p/w342/RbymxgEM5SpDfO2Io2JMFG10Vi.jpg</t>
  </si>
  <si>
    <t>A stranger arrives in a little village and soon after a mysterious sickness starts spreading. A policeman is drawn into the incident and is forced to solve the mystery in order to save his daughter.</t>
  </si>
  <si>
    <t>https://www.themoviedb.org/movie/293670</t>
  </si>
  <si>
    <t>War for the Planet of the Apes (2017)</t>
  </si>
  <si>
    <t>War for the Planet of the Apes</t>
  </si>
  <si>
    <t>Drama, Science Fiction, War</t>
  </si>
  <si>
    <t>/3vYhLLxrTtZLysXtIWktmd57Snv.jpg</t>
  </si>
  <si>
    <t>https://image.tmdb.org/t/p/w342/3vYhLLxrTtZLysXtIWktmd57Snv.jpg</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</si>
  <si>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</si>
  <si>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https://www.themoviedb.org/movie/281338</t>
  </si>
  <si>
    <t>The Watch (2012)</t>
  </si>
  <si>
    <t>The Watch</t>
  </si>
  <si>
    <t>Comedy, Action, Science Fiction</t>
  </si>
  <si>
    <t>/gwfgYA9wGpV4QLB0LrcexwfwC19.jpg</t>
  </si>
  <si>
    <t>https://image.tmdb.org/t/p/w342/gwfgYA9wGpV4QLB0LrcexwfwC19.jpg</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</si>
  <si>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</si>
  <si>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https://www.themoviedb.org/movie/80035</t>
  </si>
  <si>
    <t>We Need to Talk About Kevin (2011)</t>
  </si>
  <si>
    <t>We Need to Talk About Kevin</t>
  </si>
  <si>
    <t>Drama, Thriller</t>
  </si>
  <si>
    <t>/AtdYbs1SqYwFOLyi2v6ldVTawbn.jpg</t>
  </si>
  <si>
    <t>https://image.tmdb.org/t/p/w342/AtdYbs1SqYwFOLyi2v6ldVTawbn.jpg</t>
  </si>
  <si>
    <t>After her son Kevin commits a horrific act, troubled mother Eva reflects on her complicated relationship with her disturbed son as he grew from a toddler into a teenager.</t>
  </si>
  <si>
    <t>https://www.themoviedb.org/movie/71859</t>
  </si>
  <si>
    <t>We're the Millers (2013)</t>
  </si>
  <si>
    <t>We're the Millers</t>
  </si>
  <si>
    <t>/qF2LJ0jwWrtXSuT4AFD5OS2IqaT.jpg</t>
  </si>
  <si>
    <t>https://image.tmdb.org/t/p/w342/qF2LJ0jwWrtXSuT4AFD5OS2IqaT.jpg</t>
  </si>
  <si>
    <t>A veteran pot dealer creates a fake family as part of his plan to move a huge shipment of weed into the U.S. from Mexico.</t>
  </si>
  <si>
    <t>https://www.themoviedb.org/movie/138832</t>
  </si>
  <si>
    <t>Weapons (2025)</t>
  </si>
  <si>
    <t>Weapons</t>
  </si>
  <si>
    <t>/cpf7vsRZ0MYRQcnLWteD5jK9ymT.jpg</t>
  </si>
  <si>
    <t>https://image.tmdb.org/t/p/w342/cpf7vsRZ0MYRQcnLWteD5jK9ymT.jpg</t>
  </si>
  <si>
    <t>When all but one child from the same class mysteriously vanish on the same night at exactly the same time, a community is left questioning who or what is behind their disappearance.</t>
  </si>
  <si>
    <t>https://www.themoviedb.org/movie/1078605</t>
  </si>
  <si>
    <t>Wes Craven's New Nightmare (1994)</t>
  </si>
  <si>
    <t>Wes Craven's New Nightmare</t>
  </si>
  <si>
    <t>/q5BWxfL1x34nyYSvA3Qo5odleGW.jpg</t>
  </si>
  <si>
    <t>https://image.tmdb.org/t/p/w342/q5BWxfL1x34nyYSvA3Qo5odleGW.jpg</t>
  </si>
  <si>
    <t>A demonic force has chosen Freddy Krueger as its portal to the real world. Can Heather Langenkamp play the part of Nancy one last time and trap the evil trying to enter our world?</t>
  </si>
  <si>
    <t>https://www.themoviedb.org/movie/11596</t>
  </si>
  <si>
    <t>When Evil Lurks (2023)</t>
  </si>
  <si>
    <t>When Evil Lurks</t>
  </si>
  <si>
    <t>/iQ7G9LhP7NRRIUM4Vlai3eOxBAc.jpg</t>
  </si>
  <si>
    <t>https://image.tmdb.org/t/p/w342/iQ7G9LhP7NRRIUM4Vlai3eOxBAc.jpg</t>
  </si>
  <si>
    <t>When brothers Pedro and Jimi discover that a demonic infection has been festering in a nearby farmhouse, they attempt to evict the victim from their land. Failing to adhere to the proper rites of exorcism, their reckless actions inadvertently trigger an epidemic of possessions across their rural community.</t>
  </si>
  <si>
    <t>https://www.themoviedb.org/movie/744857</t>
  </si>
  <si>
    <t>White House Down (2013)</t>
  </si>
  <si>
    <t>White House Down</t>
  </si>
  <si>
    <t>Action, Drama, Thriller</t>
  </si>
  <si>
    <t>/6TeIVKPw7nXXWy2zKmDmlnSwzb7.jpg</t>
  </si>
  <si>
    <t>https://image.tmdb.org/t/p/w342/6TeIVKPw7nXXWy2zKmDmlnSwzb7.jpg</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</si>
  <si>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</si>
  <si>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https://www.themoviedb.org/movie/117251</t>
  </si>
  <si>
    <t>Wicked (2024)</t>
  </si>
  <si>
    <t>Wicked</t>
  </si>
  <si>
    <t>Drama, Romance, Fantasy</t>
  </si>
  <si>
    <t>/xDGbZ0JJ3mYaGKy4Nzd9Kph6M9L.jpg</t>
  </si>
  <si>
    <t>https://image.tmdb.org/t/p/w342/xDGbZ0JJ3mYaGKy4Nzd9Kph6M9L.jpg</t>
  </si>
  <si>
    <t>In the land of Oz, ostracized and misunderstood green-skinned Elphaba is forced to share a room with the popular aristocrat Glinda at Shiz University, and the two's unlikely friendship is tested as they begin to fulfill their respective destinies as Glinda the Good and the Wicked Witch of the West.</t>
  </si>
  <si>
    <t>https://www.themoviedb.org/movie/402431</t>
  </si>
  <si>
    <t>Wicked: For Good (2025)</t>
  </si>
  <si>
    <t>Wicked: For Good</t>
  </si>
  <si>
    <t>Fantasy, Adventure, Romance</t>
  </si>
  <si>
    <t>/si9tolnefLSUKaqQEGz1bWArOaL.jpg</t>
  </si>
  <si>
    <t>https://image.tmdb.org/t/p/w342/si9tolnefLSUKaqQEGz1bWArOaL.jpg</t>
  </si>
  <si>
    <t>As an angry mob rises against the Wicked Witch, Glinda and Elphaba will need to come together one final time. With their singular friendship now the fulcrum of their futures, they will need to truly see each other, with honesty and empathy, if they are to change themselves, and all of Oz, for good.</t>
  </si>
  <si>
    <t>https://www.themoviedb.org/movie/967941</t>
  </si>
  <si>
    <t>The Wolf of Wall Street (2013)</t>
  </si>
  <si>
    <t>The Wolf of Wall Street</t>
  </si>
  <si>
    <t>Crime, Drama, Comedy</t>
  </si>
  <si>
    <t>/kW9LmvYHAaS9iA0tHmZVq8hQYoq.jpg</t>
  </si>
  <si>
    <t>https://image.tmdb.org/t/p/w342/kW9LmvYHAaS9iA0tHmZVq8hQYoq.jpg</t>
  </si>
  <si>
    <t>A New York stockbroker refuses to cooperate in a large securities fraud case involving corruption on Wall Street, corporate banking world and mob infiltration. Based on Jordan Belfort's autobiography.</t>
  </si>
  <si>
    <t>https://www.themoviedb.org/movie/106646</t>
  </si>
  <si>
    <t>Wrong Turn (2003)</t>
  </si>
  <si>
    <t>Wrong Turn</t>
  </si>
  <si>
    <t>/12G5V0dTmljnv7RFMT144dJ2chh.jpg</t>
  </si>
  <si>
    <t>https://image.tmdb.org/t/p/w342/12G5V0dTmljnv7RFMT144dJ2chh.jpg</t>
  </si>
  <si>
    <t>Chris crashes into a carload of other young people, and the group of stranded motorists is soon lost in the woods of West Virginia, where they're hunted by three cannibalistic mountain men who are grossly disfigured by generations of inbreeding.</t>
  </si>
  <si>
    <t>https://www.themoviedb.org/movie/9902</t>
  </si>
  <si>
    <t>Wrong Turn 2: Dead End (2007)</t>
  </si>
  <si>
    <t>Wrong Turn 2: Dead End</t>
  </si>
  <si>
    <t>/ow3IMhTVLryZuCEoQznVTTmFYuu.jpg</t>
  </si>
  <si>
    <t>https://image.tmdb.org/t/p/w342/ow3IMhTVLryZuCEoQznVTTmFYuu.jpg</t>
  </si>
  <si>
    <t>Retired military commander Colonel Dale Murphy hosts the simulated post-apocalyptic reality show where participants are challenged to survive a remote West Virginia wasteland. But the show turns into a nightmarish showdown when each realizes they are being hunted by an inbred family of cannibals determined to make them all dinner!</t>
  </si>
  <si>
    <t>https://www.themoviedb.org/movie/13186</t>
  </si>
  <si>
    <t>Wrong Turn 3: Left for Dead (2009)</t>
  </si>
  <si>
    <t>Wrong Turn 3: Left for Dead</t>
  </si>
  <si>
    <t>/84s4LMWuGbm4xPWW5PSbHyQhh33.jpg</t>
  </si>
  <si>
    <t>https://image.tmdb.org/t/p/w342/84s4LMWuGbm4xPWW5PSbHyQhh33.jpg</t>
  </si>
  <si>
    <t>A group of people find themselves trapped in the backwoods of West Virginia, fighting for their lives against a group of vicious and horribly disfigured inbred cannibals.</t>
  </si>
  <si>
    <t>https://www.themoviedb.org/movie/23823</t>
  </si>
  <si>
    <t>Wrong Turn 4: Bloody Beginnings (2011)</t>
  </si>
  <si>
    <t>Wrong Turn 4: Bloody Beginnings</t>
  </si>
  <si>
    <t>/l1vD4GY7tlT420KJ3xWTzyQ2Aa9.jpg</t>
  </si>
  <si>
    <t>https://image.tmdb.org/t/p/w342/l1vD4GY7tlT420KJ3xWTzyQ2Aa9.jpg</t>
  </si>
  <si>
    <t>A group of friends take refuge in a deserted sanatorium after they are left stranded in a snowstorm. Later, the place becomes a death trap when man-eating cannibals surround them.</t>
  </si>
  <si>
    <t>https://www.themoviedb.org/movie/71672</t>
  </si>
  <si>
    <t>Wrong Turn 5: Bloodlines (2012)</t>
  </si>
  <si>
    <t>Wrong Turn 5: Bloodlines</t>
  </si>
  <si>
    <t>/8fABep8FSRpeo8Ea4j3rfnoVgkg.jpg</t>
  </si>
  <si>
    <t>https://image.tmdb.org/t/p/w342/8fABep8FSRpeo8Ea4j3rfnoVgkg.jpg</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</si>
  <si>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</si>
  <si>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https://www.themoviedb.org/movie/125509</t>
  </si>
  <si>
    <t>X (2022)</t>
  </si>
  <si>
    <t>X</t>
  </si>
  <si>
    <t>/lopZSVtXzhFY603E9OqF7O1YKsh.jpg</t>
  </si>
  <si>
    <t>https://image.tmdb.org/t/p/w342/lopZSVtXzhFY603E9OqF7O1YKsh.jpg</t>
  </si>
  <si>
    <t>In 1979, a group of young filmmakers set out to make an adult film in rural Texas, but when their reclusive, elderly hosts catch them in the act, the cast find themselves fighting for their lives.</t>
  </si>
  <si>
    <t>https://www.themoviedb.org/movie/760104</t>
  </si>
  <si>
    <t>Yes Man (2008)</t>
  </si>
  <si>
    <t>Yes Man</t>
  </si>
  <si>
    <t>/8Vk2nQF1kY34x53YnWd5zDaTht.jpg</t>
  </si>
  <si>
    <t>https://image.tmdb.org/t/p/w342/8Vk2nQF1kY34x53YnWd5zDaTht.jpg</t>
  </si>
  <si>
    <t>Carl Allen, a guy whose life is going nowhere, signs up for a self-help program based on one simple covenant: say yes to everything…and anything.</t>
  </si>
  <si>
    <t>https://www.themoviedb.org/movie/10201</t>
  </si>
  <si>
    <t>Zodiac (2007)</t>
  </si>
  <si>
    <t>Zodiac</t>
  </si>
  <si>
    <t>Crime, Mystery, Thriller</t>
  </si>
  <si>
    <t>/6YmeO4pB7XTh8P8F960O1uA14JO.jpg</t>
  </si>
  <si>
    <t>https://image.tmdb.org/t/p/w342/6YmeO4pB7XTh8P8F960O1uA14JO.jpg</t>
  </si>
  <si>
    <t>Over the course of a decade, editors of the San Francisco Chronicle entice themselves in the murders of the Zodiac Killer. However, as time runs its course, interest in the case dwindles in the eyes of the professionals. The Killer stops interacting with the public. However, believing he has the answers, an amateur cartoonist from the initial sightings races against time to prevent what he believes is another murder.</t>
  </si>
  <si>
    <t>https://www.themoviedb.org/movie/1949</t>
  </si>
  <si>
    <t>Zombieland (2009)</t>
  </si>
  <si>
    <t>Zombieland</t>
  </si>
  <si>
    <t>/dUkAmAyPVqubSBNRjRqCgHggZcK.jpg</t>
  </si>
  <si>
    <t>https://image.tmdb.org/t/p/w342/dUkAmAyPVqubSBNRjRqCgHggZcK.jpg</t>
  </si>
  <si>
    <t>Columbus has made a habit of running from what scares him. Tallahassee doesn't have fears. If he did, he'd kick their ever-living ass. In a world overrun by zombies, these two are perfectly evolved survivors. But now, they're about to stare down the most terrifying prospect of all: each other.</t>
  </si>
  <si>
    <t>https://www.themoviedb.org/movie/19908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</si>
</sst>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0.0"/>
  </numFmts>
  <fonts count="5">
    <font>
      <sz val="10.0"/>
      <color rgb="FF000000"/>
      <name val="Arial"/>
      <scheme val="minor"/>
    </font>
    <font>
      <b/>
      <sz val="11.0"/>
      <color rgb="FFFFFFFF"/>
      <name val="Carlito"/>
    </font>
    <font>
      <sz val="11.0"/>
      <color theme="1"/>
      <name val="Carlito"/>
    </font>
    <font>
      <sz val="8.0"/>
      <color rgb="FF666666"/>
      <name val="Carlito"/>
    </font>
    <font>
      <u/>
      <sz val="11.0"/>
      <color rgb="FF0000FF"/>
      <name val="Carlito"/>
    </font>
  </fonts>
  <fills count="3">
    <fill>
      <patternFill patternType="none"/>
    </fill>
    <fill>
      <patternFill patternType="lightGray"/>
    </fill>
    <fill>
      <patternFill patternType="solid">
        <fgColor rgb="FF1F4E78"/>
        <bgColor rgb="FF1F4E78"/>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164" xfId="0" applyAlignment="1" applyFont="1" applyNumberForma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shrinkToFit="0" vertical="top" wrapText="1"/>
    </xf>
    <xf borderId="0" fillId="0" fontId="2" numFmtId="165" xfId="0" applyAlignment="1" applyFont="1" applyNumberFormat="1">
      <alignment readingOrder="0" shrinkToFit="0" vertical="top" wrapText="1"/>
    </xf>
    <xf borderId="0" fillId="0" fontId="4" numFmtId="0" xfId="0" applyAlignment="1" applyFont="1">
      <alignment readingOrder="0" shrinkToFit="0" vertical="top" wrapText="1"/>
    </xf>
    <xf borderId="0" fillId="0" fontId="2" numFmtId="1" xfId="0" applyAlignment="1" applyFont="1" applyNumberFormat="1">
      <alignment readingOrder="0" shrinkToFit="0" vertical="top" wrapText="1"/>
    </xf>
    <xf borderId="0" fillId="0" fontId="2" numFmtId="0" xfId="0" applyAlignment="1" applyFont="1">
      <alignment horizontal="center" shrinkToFit="0" vertical="top" wrapText="1"/>
    </xf>
    <xf borderId="0" fillId="0" fontId="2" numFmtId="0" xfId="0" applyAlignment="1" applyFont="1">
      <alignment horizontal="center" readingOrder="0" shrinkToFit="0" vertical="top" wrapText="1"/>
    </xf>
    <xf borderId="0" fillId="0" fontId="2" numFmtId="164" xfId="0" applyAlignment="1" applyFont="1" applyNumberFormat="1">
      <alignment shrinkToFit="0" vertical="top" wrapText="1"/>
    </xf>
    <xf borderId="0" fillId="0" fontId="2" numFmtId="165" xfId="0" applyAlignment="1" applyFont="1" applyNumberFormat="1">
      <alignment shrinkToFit="0" vertical="top" wrapText="1"/>
    </xf>
    <xf borderId="0" fillId="0" fontId="2" numFmtId="1" xfId="0" applyAlignment="1" applyFont="1" applyNumberFormat="1">
      <alignment shrinkToFit="0" vertical="top" wrapText="1"/>
    </xf>
  </cellXfs>
  <cellStyles count="1">
    <cellStyle xfId="0" name="Normal" builtinId="0"/>
  </cellStyles>
  <dxfs count="6">
    <dxf>
      <font/>
      <fill>
        <patternFill patternType="none"/>
      </fill>
      <border/>
    </dxf>
    <dxf>
      <font/>
      <fill>
        <patternFill patternType="solid">
          <fgColor rgb="FF78909C"/>
          <bgColor rgb="FF78909C"/>
        </patternFill>
      </fill>
      <border/>
    </dxf>
    <dxf>
      <font/>
      <fill>
        <patternFill patternType="solid">
          <fgColor rgb="FFFFFFFF"/>
          <bgColor rgb="FFFFFFFF"/>
        </patternFill>
      </fill>
      <border/>
    </dxf>
    <dxf>
      <font/>
      <fill>
        <patternFill patternType="solid">
          <fgColor rgb="FFEBEFF1"/>
          <bgColor rgb="FFEBEFF1"/>
        </patternFill>
      </fill>
      <border/>
    </dxf>
    <dxf>
      <font/>
      <fill>
        <patternFill patternType="solid">
          <fgColor rgb="FFDCFCE7"/>
          <bgColor rgb="FFDCFCE7"/>
        </patternFill>
      </fill>
      <border/>
    </dxf>
    <dxf>
      <font/>
      <fill>
        <patternFill patternType="solid">
          <fgColor rgb="FFFEE2E2"/>
          <bgColor rgb="FFFEE2E2"/>
        </patternFill>
      </fill>
      <border/>
    </dxf>
  </dxfs>
  <tableStyles count="1">
    <tableStyle count="3" pivot="0" name="Movie Library-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S411" displayName="Table_1" name="Table_1" id="1">
  <tableColumns count="19">
    <tableColumn name="Original Entry" id="1"/>
    <tableColumn name="Cover Image" id="2"/>
    <tableColumn name="Title" id="3"/>
    <tableColumn name="Release Date" id="4"/>
    <tableColumn name="Year" id="5"/>
    <tableColumn name="Format" id="6"/>
    <tableColumn name="TMDB Search JSON" id="7"/>
    <tableColumn name="TMDB ID" id="8"/>
    <tableColumn name="TMDB Rating" id="9"/>
    <tableColumn name="Genre" id="10"/>
    <tableColumn name="Poster Path" id="11"/>
    <tableColumn name="Cover URL" id="12"/>
    <tableColumn name="Runtime (min)" id="13"/>
    <tableColumn name="Overview" id="14"/>
    <tableColumn name="Watched?" id="15"/>
    <tableColumn name="My Rating (1-5)" id="16"/>
    <tableColumn name="Notes" id="17"/>
    <tableColumn name="TMDB Source URL" id="18"/>
    <tableColumn name="Match Status" id="19"/>
  </tableColumns>
  <tableStyleInfo name="Movie Libr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themoviedb.org/movie/27578" TargetMode="External"/><Relationship Id="rId194" Type="http://schemas.openxmlformats.org/officeDocument/2006/relationships/hyperlink" Target="https://www.themoviedb.org/movie/345" TargetMode="External"/><Relationship Id="rId193" Type="http://schemas.openxmlformats.org/officeDocument/2006/relationships/hyperlink" Target="https://image.tmdb.org/t/p/w342/knEIz1eNGl5MQDbrEAVWA7iRqF9.jpg" TargetMode="External"/><Relationship Id="rId192" Type="http://schemas.openxmlformats.org/officeDocument/2006/relationships/hyperlink" Target="https://www.themoviedb.org/movie/76163" TargetMode="External"/><Relationship Id="rId191" Type="http://schemas.openxmlformats.org/officeDocument/2006/relationships/hyperlink" Target="https://image.tmdb.org/t/p/w342/74rTIGyGoIu5KSxDVMdr8H3MtMo.jpg" TargetMode="External"/><Relationship Id="rId187" Type="http://schemas.openxmlformats.org/officeDocument/2006/relationships/hyperlink" Target="https://image.tmdb.org/t/p/w342/rhSftgj3vwpIDSP8v67N8KEubmz.jpg" TargetMode="External"/><Relationship Id="rId186" Type="http://schemas.openxmlformats.org/officeDocument/2006/relationships/hyperlink" Target="https://www.themoviedb.org/movie/9552" TargetMode="External"/><Relationship Id="rId185" Type="http://schemas.openxmlformats.org/officeDocument/2006/relationships/hyperlink" Target="https://image.tmdb.org/t/p/w342/5x0CeVHJI8tcDx8tUUwYHQSNILq.jpg" TargetMode="External"/><Relationship Id="rId184" Type="http://schemas.openxmlformats.org/officeDocument/2006/relationships/hyperlink" Target="https://www.themoviedb.org/movie/264660" TargetMode="External"/><Relationship Id="rId189" Type="http://schemas.openxmlformats.org/officeDocument/2006/relationships/hyperlink" Target="https://image.tmdb.org/t/p/w342/j09ZkH6R4JWVylBcDai1laCmGw7.jpg" TargetMode="External"/><Relationship Id="rId188" Type="http://schemas.openxmlformats.org/officeDocument/2006/relationships/hyperlink" Target="https://www.themoviedb.org/movie/11587" TargetMode="External"/><Relationship Id="rId183" Type="http://schemas.openxmlformats.org/officeDocument/2006/relationships/hyperlink" Target="https://image.tmdb.org/t/p/w342/dmJW8IAKHKxFNiUnoDR7JfsK7Rp.jpg" TargetMode="External"/><Relationship Id="rId182" Type="http://schemas.openxmlformats.org/officeDocument/2006/relationships/hyperlink" Target="https://www.themoviedb.org/movie/713704" TargetMode="External"/><Relationship Id="rId181" Type="http://schemas.openxmlformats.org/officeDocument/2006/relationships/hyperlink" Target="https://image.tmdb.org/t/p/w342/5ik4ATKmNtmJU6AYD0bLm56BCVM.jpg" TargetMode="External"/><Relationship Id="rId180" Type="http://schemas.openxmlformats.org/officeDocument/2006/relationships/hyperlink" Target="https://www.themoviedb.org/movie/765" TargetMode="External"/><Relationship Id="rId176" Type="http://schemas.openxmlformats.org/officeDocument/2006/relationships/hyperlink" Target="https://www.themoviedb.org/movie/9454" TargetMode="External"/><Relationship Id="rId175" Type="http://schemas.openxmlformats.org/officeDocument/2006/relationships/hyperlink" Target="https://image.tmdb.org/t/p/w342/9TspO5dThMBioF0DFrvy6YqrngH.jpg" TargetMode="External"/><Relationship Id="rId174" Type="http://schemas.openxmlformats.org/officeDocument/2006/relationships/hyperlink" Target="https://www.themoviedb.org/movie/601" TargetMode="External"/><Relationship Id="rId173" Type="http://schemas.openxmlformats.org/officeDocument/2006/relationships/hyperlink" Target="https://image.tmdb.org/t/p/w342/an0nD6uq6byfxXCfk6lQBzdL2J1.jpg" TargetMode="External"/><Relationship Id="rId179" Type="http://schemas.openxmlformats.org/officeDocument/2006/relationships/hyperlink" Target="https://image.tmdb.org/t/p/w342/4zqCKJVHUolGs6C5AZwAZqLWixW.jpg" TargetMode="External"/><Relationship Id="rId178" Type="http://schemas.openxmlformats.org/officeDocument/2006/relationships/hyperlink" Target="https://www.themoviedb.org/movie/109428" TargetMode="External"/><Relationship Id="rId177" Type="http://schemas.openxmlformats.org/officeDocument/2006/relationships/hyperlink" Target="https://image.tmdb.org/t/p/w342/1gDV0Lm9y8ufIKzyf0h0GBgb9Zj.jpg" TargetMode="External"/><Relationship Id="rId198" Type="http://schemas.openxmlformats.org/officeDocument/2006/relationships/hyperlink" Target="https://www.themoviedb.org/movie/6466" TargetMode="External"/><Relationship Id="rId197" Type="http://schemas.openxmlformats.org/officeDocument/2006/relationships/hyperlink" Target="https://image.tmdb.org/t/p/w342/f9ZASRUfl8Jlco7rgRx3ujPR0P7.jpg" TargetMode="External"/><Relationship Id="rId196" Type="http://schemas.openxmlformats.org/officeDocument/2006/relationships/hyperlink" Target="https://www.themoviedb.org/movie/442249" TargetMode="External"/><Relationship Id="rId195" Type="http://schemas.openxmlformats.org/officeDocument/2006/relationships/hyperlink" Target="https://image.tmdb.org/t/p/w342/litjsBoiydO6JlO70uOX4N3WnNL.jpg" TargetMode="External"/><Relationship Id="rId199" Type="http://schemas.openxmlformats.org/officeDocument/2006/relationships/hyperlink" Target="https://image.tmdb.org/t/p/w342/e4qh58n2WaG4Gyh9VhjOUeN9Mhv.jpg" TargetMode="External"/><Relationship Id="rId150" Type="http://schemas.openxmlformats.org/officeDocument/2006/relationships/hyperlink" Target="https://www.themoviedb.org/movie/924" TargetMode="External"/><Relationship Id="rId392" Type="http://schemas.openxmlformats.org/officeDocument/2006/relationships/hyperlink" Target="https://www.themoviedb.org/movie/245891" TargetMode="External"/><Relationship Id="rId391" Type="http://schemas.openxmlformats.org/officeDocument/2006/relationships/hyperlink" Target="https://image.tmdb.org/t/p/w342/wXqWR7dHncNRbxoEGybEy7QTe9h.jpg" TargetMode="External"/><Relationship Id="rId390" Type="http://schemas.openxmlformats.org/officeDocument/2006/relationships/hyperlink" Target="https://www.themoviedb.org/movie/298250" TargetMode="External"/><Relationship Id="rId1" Type="http://schemas.openxmlformats.org/officeDocument/2006/relationships/hyperlink" Target="https://image.tmdb.org/t/p/w342/9I7gV6wRbGnbfI3XOKjHeLMjYEo.jpg" TargetMode="External"/><Relationship Id="rId2" Type="http://schemas.openxmlformats.org/officeDocument/2006/relationships/hyperlink" Target="https://www.themoviedb.org/movie/7840" TargetMode="External"/><Relationship Id="rId3" Type="http://schemas.openxmlformats.org/officeDocument/2006/relationships/hyperlink" Target="https://image.tmdb.org/t/p/w342/ve72VxNqjGM69Uky4WTo2bK6rfq.jpg" TargetMode="External"/><Relationship Id="rId149" Type="http://schemas.openxmlformats.org/officeDocument/2006/relationships/hyperlink" Target="https://image.tmdb.org/t/p/w342/ttquyxStEEctzghtA2f4PUGprDr.jpg" TargetMode="External"/><Relationship Id="rId4" Type="http://schemas.openxmlformats.org/officeDocument/2006/relationships/hyperlink" Target="https://www.themoviedb.org/movie/62" TargetMode="External"/><Relationship Id="rId148" Type="http://schemas.openxmlformats.org/officeDocument/2006/relationships/hyperlink" Target="https://www.themoviedb.org/movie/49026" TargetMode="External"/><Relationship Id="rId9" Type="http://schemas.openxmlformats.org/officeDocument/2006/relationships/hyperlink" Target="https://image.tmdb.org/t/p/w342/12VgS5G6OG7ANKrSbhtUD2POHb8.jpg" TargetMode="External"/><Relationship Id="rId143" Type="http://schemas.openxmlformats.org/officeDocument/2006/relationships/hyperlink" Target="https://image.tmdb.org/t/p/w342/x9DzkDWp8O82Wzxk6otuD9bce9a.jpg" TargetMode="External"/><Relationship Id="rId385" Type="http://schemas.openxmlformats.org/officeDocument/2006/relationships/hyperlink" Target="https://image.tmdb.org/t/p/w342/g410Y1U1ELbmJG14Zru3UAimm1G.jpg" TargetMode="External"/><Relationship Id="rId142" Type="http://schemas.openxmlformats.org/officeDocument/2006/relationships/hyperlink" Target="https://www.themoviedb.org/movie/36095" TargetMode="External"/><Relationship Id="rId384" Type="http://schemas.openxmlformats.org/officeDocument/2006/relationships/hyperlink" Target="https://www.themoviedb.org/movie/2294" TargetMode="External"/><Relationship Id="rId141" Type="http://schemas.openxmlformats.org/officeDocument/2006/relationships/hyperlink" Target="https://image.tmdb.org/t/p/w342/yTRrqIGusJuzG5Pe3iFQTnHg1Ps.jpg" TargetMode="External"/><Relationship Id="rId383" Type="http://schemas.openxmlformats.org/officeDocument/2006/relationships/hyperlink" Target="https://image.tmdb.org/t/p/w342/aEsAdMAhwKYFgnHHxMOknktQYKK.jpg" TargetMode="External"/><Relationship Id="rId140" Type="http://schemas.openxmlformats.org/officeDocument/2006/relationships/hyperlink" Target="https://www.themoviedb.org/movie/393345" TargetMode="External"/><Relationship Id="rId382" Type="http://schemas.openxmlformats.org/officeDocument/2006/relationships/hyperlink" Target="https://www.themoviedb.org/movie/578" TargetMode="External"/><Relationship Id="rId5" Type="http://schemas.openxmlformats.org/officeDocument/2006/relationships/hyperlink" Target="https://image.tmdb.org/t/p/w342/iaURDnsqwTpFdg7RuizUp0nI2I4.jpg" TargetMode="External"/><Relationship Id="rId147" Type="http://schemas.openxmlformats.org/officeDocument/2006/relationships/hyperlink" Target="https://image.tmdb.org/t/p/w342/hr0L2aueqlP2BYUblTTjmtn0hw4.jpg" TargetMode="External"/><Relationship Id="rId389" Type="http://schemas.openxmlformats.org/officeDocument/2006/relationships/hyperlink" Target="https://image.tmdb.org/t/p/w342/7RwHxhdUNS996JPFNB9a7CJtlwR.jpg" TargetMode="External"/><Relationship Id="rId6" Type="http://schemas.openxmlformats.org/officeDocument/2006/relationships/hyperlink" Target="https://www.themoviedb.org/movie/489064" TargetMode="External"/><Relationship Id="rId146" Type="http://schemas.openxmlformats.org/officeDocument/2006/relationships/hyperlink" Target="https://www.themoviedb.org/movie/155" TargetMode="External"/><Relationship Id="rId388" Type="http://schemas.openxmlformats.org/officeDocument/2006/relationships/hyperlink" Target="https://www.themoviedb.org/movie/11351" TargetMode="External"/><Relationship Id="rId7" Type="http://schemas.openxmlformats.org/officeDocument/2006/relationships/hyperlink" Target="https://image.tmdb.org/t/p/w342/7LwSrvFA0gz1KAlcrGcinoQPene.jpg" TargetMode="External"/><Relationship Id="rId145" Type="http://schemas.openxmlformats.org/officeDocument/2006/relationships/hyperlink" Target="https://image.tmdb.org/t/p/w342/qJ2tW6WMUDux911r6m7haRef0WH.jpg" TargetMode="External"/><Relationship Id="rId387" Type="http://schemas.openxmlformats.org/officeDocument/2006/relationships/hyperlink" Target="https://image.tmdb.org/t/p/w342/u2ghDfjcs3y5c8ata3COc4pWiAN.jpg" TargetMode="External"/><Relationship Id="rId8" Type="http://schemas.openxmlformats.org/officeDocument/2006/relationships/hyperlink" Target="https://www.themoviedb.org/movie/4513" TargetMode="External"/><Relationship Id="rId144" Type="http://schemas.openxmlformats.org/officeDocument/2006/relationships/hyperlink" Target="https://www.themoviedb.org/movie/167032" TargetMode="External"/><Relationship Id="rId386" Type="http://schemas.openxmlformats.org/officeDocument/2006/relationships/hyperlink" Target="https://www.themoviedb.org/movie/8922" TargetMode="External"/><Relationship Id="rId381" Type="http://schemas.openxmlformats.org/officeDocument/2006/relationships/hyperlink" Target="https://image.tmdb.org/t/p/w342/lxM6kqilAdpdhqUl2biYp5frUxE.jpg" TargetMode="External"/><Relationship Id="rId380" Type="http://schemas.openxmlformats.org/officeDocument/2006/relationships/hyperlink" Target="https://www.themoviedb.org/movie/11470" TargetMode="External"/><Relationship Id="rId139" Type="http://schemas.openxmlformats.org/officeDocument/2006/relationships/hyperlink" Target="https://image.tmdb.org/t/p/w342/r5JUiMYfatwYeDkxkLWYUx5GIjY.jpg" TargetMode="External"/><Relationship Id="rId138" Type="http://schemas.openxmlformats.org/officeDocument/2006/relationships/hyperlink" Target="https://www.themoviedb.org/movie/16288" TargetMode="External"/><Relationship Id="rId137" Type="http://schemas.openxmlformats.org/officeDocument/2006/relationships/hyperlink" Target="https://image.tmdb.org/t/p/w342/bbanIymLuTYmQGis9nlCkFlT1eg.jpg" TargetMode="External"/><Relationship Id="rId379" Type="http://schemas.openxmlformats.org/officeDocument/2006/relationships/hyperlink" Target="https://image.tmdb.org/t/p/w342/ggOND0hfoE0f3K857joSzEeIchb.jpg" TargetMode="External"/><Relationship Id="rId132" Type="http://schemas.openxmlformats.org/officeDocument/2006/relationships/hyperlink" Target="https://www.themoviedb.org/movie/29427" TargetMode="External"/><Relationship Id="rId374" Type="http://schemas.openxmlformats.org/officeDocument/2006/relationships/hyperlink" Target="https://www.themoviedb.org/movie/474350" TargetMode="External"/><Relationship Id="rId131" Type="http://schemas.openxmlformats.org/officeDocument/2006/relationships/hyperlink" Target="https://image.tmdb.org/t/p/w342/ggtG9DZELyTtM2Y0DRJDOJa5iP8.jpg" TargetMode="External"/><Relationship Id="rId373" Type="http://schemas.openxmlformats.org/officeDocument/2006/relationships/hyperlink" Target="https://image.tmdb.org/t/p/w342/zfE0R94v1E8cuKAerbskfD3VfUt.jpg" TargetMode="External"/><Relationship Id="rId130" Type="http://schemas.openxmlformats.org/officeDocument/2006/relationships/hyperlink" Target="https://www.themoviedb.org/movie/14836" TargetMode="External"/><Relationship Id="rId372" Type="http://schemas.openxmlformats.org/officeDocument/2006/relationships/hyperlink" Target="https://www.themoviedb.org/movie/270303" TargetMode="External"/><Relationship Id="rId371" Type="http://schemas.openxmlformats.org/officeDocument/2006/relationships/hyperlink" Target="https://image.tmdb.org/t/p/w342/iwnQ1JH1wdWrGYkgWySptJ5284A.jpg" TargetMode="External"/><Relationship Id="rId136" Type="http://schemas.openxmlformats.org/officeDocument/2006/relationships/hyperlink" Target="https://www.themoviedb.org/movie/16281" TargetMode="External"/><Relationship Id="rId378" Type="http://schemas.openxmlformats.org/officeDocument/2006/relationships/hyperlink" Target="https://www.themoviedb.org/movie/10285" TargetMode="External"/><Relationship Id="rId135" Type="http://schemas.openxmlformats.org/officeDocument/2006/relationships/hyperlink" Target="https://image.tmdb.org/t/p/w342/4SoyTCEpsgLjX6yAyMsx3AsAyRQ.jpg" TargetMode="External"/><Relationship Id="rId377" Type="http://schemas.openxmlformats.org/officeDocument/2006/relationships/hyperlink" Target="https://image.tmdb.org/t/p/w342/Aacq05foqiWdXqetFv02HBvMoJy.jpg" TargetMode="External"/><Relationship Id="rId134" Type="http://schemas.openxmlformats.org/officeDocument/2006/relationships/hyperlink" Target="https://www.themoviedb.org/movie/250574" TargetMode="External"/><Relationship Id="rId376" Type="http://schemas.openxmlformats.org/officeDocument/2006/relationships/hyperlink" Target="https://www.themoviedb.org/movie/25" TargetMode="External"/><Relationship Id="rId133" Type="http://schemas.openxmlformats.org/officeDocument/2006/relationships/hyperlink" Target="https://image.tmdb.org/t/p/w342/qn53D574tT0YRyLgirEFHQwGUXw.jpg" TargetMode="External"/><Relationship Id="rId375" Type="http://schemas.openxmlformats.org/officeDocument/2006/relationships/hyperlink" Target="https://image.tmdb.org/t/p/w342/6vdj47RAWOUZBkeQmqToeZ7eaio.jpg" TargetMode="External"/><Relationship Id="rId172" Type="http://schemas.openxmlformats.org/officeDocument/2006/relationships/hyperlink" Target="https://www.themoviedb.org/movie/8457" TargetMode="External"/><Relationship Id="rId171" Type="http://schemas.openxmlformats.org/officeDocument/2006/relationships/hyperlink" Target="https://image.tmdb.org/t/p/w342/shqO696kFnM8Z4ODa3JglcjP97u.jpg" TargetMode="External"/><Relationship Id="rId170" Type="http://schemas.openxmlformats.org/officeDocument/2006/relationships/hyperlink" Target="https://www.themoviedb.org/movie/6171" TargetMode="External"/><Relationship Id="rId165" Type="http://schemas.openxmlformats.org/officeDocument/2006/relationships/hyperlink" Target="https://image.tmdb.org/t/p/w342/p69QzIBbN06aTYqRRiCOY1emNBh.jpg" TargetMode="External"/><Relationship Id="rId164" Type="http://schemas.openxmlformats.org/officeDocument/2006/relationships/hyperlink" Target="https://www.themoviedb.org/movie/8271" TargetMode="External"/><Relationship Id="rId163" Type="http://schemas.openxmlformats.org/officeDocument/2006/relationships/hyperlink" Target="https://image.tmdb.org/t/p/w342/3f9KwSrieczuH9nRrwfOsoMoMNd.jpg" TargetMode="External"/><Relationship Id="rId162" Type="http://schemas.openxmlformats.org/officeDocument/2006/relationships/hyperlink" Target="https://www.themoviedb.org/movie/76493" TargetMode="External"/><Relationship Id="rId169" Type="http://schemas.openxmlformats.org/officeDocument/2006/relationships/hyperlink" Target="https://image.tmdb.org/t/p/w342/lLhvwLNU4pLgvaNREVFaQ4n3lCf.jpg" TargetMode="External"/><Relationship Id="rId168" Type="http://schemas.openxmlformats.org/officeDocument/2006/relationships/hyperlink" Target="https://www.themoviedb.org/movie/1832" TargetMode="External"/><Relationship Id="rId167" Type="http://schemas.openxmlformats.org/officeDocument/2006/relationships/hyperlink" Target="https://image.tmdb.org/t/p/w342/oxhHl2YokTqcP44QK5tiTgjgLgk.jpg" TargetMode="External"/><Relationship Id="rId166" Type="http://schemas.openxmlformats.org/officeDocument/2006/relationships/hyperlink" Target="https://www.themoviedb.org/movie/501170" TargetMode="External"/><Relationship Id="rId161" Type="http://schemas.openxmlformats.org/officeDocument/2006/relationships/hyperlink" Target="https://image.tmdb.org/t/p/w342/n0W7kajF4GFMRk2c0wWwMQqTaDM.jpg" TargetMode="External"/><Relationship Id="rId160" Type="http://schemas.openxmlformats.org/officeDocument/2006/relationships/hyperlink" Target="https://www.themoviedb.org/movie/1696" TargetMode="External"/><Relationship Id="rId159" Type="http://schemas.openxmlformats.org/officeDocument/2006/relationships/hyperlink" Target="https://image.tmdb.org/t/p/w342/drZz4AuI7trq6BxlH9Xa4v4O0Pb.jpg" TargetMode="External"/><Relationship Id="rId154" Type="http://schemas.openxmlformats.org/officeDocument/2006/relationships/hyperlink" Target="https://www.themoviedb.org/movie/435" TargetMode="External"/><Relationship Id="rId396" Type="http://schemas.openxmlformats.org/officeDocument/2006/relationships/hyperlink" Target="https://www.themoviedb.org/movie/458156" TargetMode="External"/><Relationship Id="rId153" Type="http://schemas.openxmlformats.org/officeDocument/2006/relationships/hyperlink" Target="https://image.tmdb.org/t/p/w342/Wr4HeYQRvwVCxzOV5TmGE7UkXq.jpg" TargetMode="External"/><Relationship Id="rId395" Type="http://schemas.openxmlformats.org/officeDocument/2006/relationships/hyperlink" Target="https://image.tmdb.org/t/p/w342/ziEuG1essDuWuC5lpWUaw1uXY2O.jpg" TargetMode="External"/><Relationship Id="rId152" Type="http://schemas.openxmlformats.org/officeDocument/2006/relationships/hyperlink" Target="https://www.themoviedb.org/movie/119450" TargetMode="External"/><Relationship Id="rId394" Type="http://schemas.openxmlformats.org/officeDocument/2006/relationships/hyperlink" Target="https://www.themoviedb.org/movie/324552" TargetMode="External"/><Relationship Id="rId151" Type="http://schemas.openxmlformats.org/officeDocument/2006/relationships/hyperlink" Target="https://image.tmdb.org/t/p/w342/mSmAc9G25fhOHH45SLEeagR0qi7.jpg" TargetMode="External"/><Relationship Id="rId393" Type="http://schemas.openxmlformats.org/officeDocument/2006/relationships/hyperlink" Target="https://image.tmdb.org/t/p/w342/hXWBc0ioZP3cN4zCu6SN3YHXZVO.jpg" TargetMode="External"/><Relationship Id="rId158" Type="http://schemas.openxmlformats.org/officeDocument/2006/relationships/hyperlink" Target="https://www.themoviedb.org/movie/9392" TargetMode="External"/><Relationship Id="rId157" Type="http://schemas.openxmlformats.org/officeDocument/2006/relationships/hyperlink" Target="https://image.tmdb.org/t/p/w342/mxFPI4KYBk5ri9cPteIS8jiDFgj.jpg" TargetMode="External"/><Relationship Id="rId399" Type="http://schemas.openxmlformats.org/officeDocument/2006/relationships/hyperlink" Target="https://image.tmdb.org/t/p/w342/6q1hlBC6rudc3mHwXsbMBR2xAT6.jpg" TargetMode="External"/><Relationship Id="rId156" Type="http://schemas.openxmlformats.org/officeDocument/2006/relationships/hyperlink" Target="https://www.themoviedb.org/movie/14001" TargetMode="External"/><Relationship Id="rId398" Type="http://schemas.openxmlformats.org/officeDocument/2006/relationships/hyperlink" Target="https://www.themoviedb.org/movie/603692" TargetMode="External"/><Relationship Id="rId155" Type="http://schemas.openxmlformats.org/officeDocument/2006/relationships/hyperlink" Target="https://image.tmdb.org/t/p/w342/rvcUVdATIHKZt7BSSttUkKbeBXN.jpg" TargetMode="External"/><Relationship Id="rId397" Type="http://schemas.openxmlformats.org/officeDocument/2006/relationships/hyperlink" Target="https://image.tmdb.org/t/p/w342/vZloFAK7NmvMGKE7VkF5UHaz0I.jpg" TargetMode="External"/><Relationship Id="rId807" Type="http://schemas.openxmlformats.org/officeDocument/2006/relationships/table" Target="../tables/table1.xml"/><Relationship Id="rId805" Type="http://schemas.openxmlformats.org/officeDocument/2006/relationships/drawing" Target="../drawings/drawing1.xml"/><Relationship Id="rId800" Type="http://schemas.openxmlformats.org/officeDocument/2006/relationships/hyperlink" Target="https://www.themoviedb.org/movie/10201" TargetMode="External"/><Relationship Id="rId804" Type="http://schemas.openxmlformats.org/officeDocument/2006/relationships/hyperlink" Target="https://www.themoviedb.org/movie/19908" TargetMode="External"/><Relationship Id="rId803" Type="http://schemas.openxmlformats.org/officeDocument/2006/relationships/hyperlink" Target="https://image.tmdb.org/t/p/w342/dUkAmAyPVqubSBNRjRqCgHggZcK.jpg" TargetMode="External"/><Relationship Id="rId802" Type="http://schemas.openxmlformats.org/officeDocument/2006/relationships/hyperlink" Target="https://www.themoviedb.org/movie/1949" TargetMode="External"/><Relationship Id="rId801" Type="http://schemas.openxmlformats.org/officeDocument/2006/relationships/hyperlink" Target="https://image.tmdb.org/t/p/w342/6YmeO4pB7XTh8P8F960O1uA14JO.jpg" TargetMode="External"/><Relationship Id="rId40" Type="http://schemas.openxmlformats.org/officeDocument/2006/relationships/hyperlink" Target="https://www.themoviedb.org/movie/250546" TargetMode="External"/><Relationship Id="rId42" Type="http://schemas.openxmlformats.org/officeDocument/2006/relationships/hyperlink" Target="https://www.themoviedb.org/movie/521029" TargetMode="External"/><Relationship Id="rId41" Type="http://schemas.openxmlformats.org/officeDocument/2006/relationships/hyperlink" Target="https://image.tmdb.org/t/p/w342/qWsHMrbg9DsBY3bCMk9jyYCRVRs.jpg" TargetMode="External"/><Relationship Id="rId44" Type="http://schemas.openxmlformats.org/officeDocument/2006/relationships/hyperlink" Target="https://www.themoviedb.org/movie/396422" TargetMode="External"/><Relationship Id="rId43" Type="http://schemas.openxmlformats.org/officeDocument/2006/relationships/hyperlink" Target="https://image.tmdb.org/t/p/w342/tb86j8jVCVsdZnzf8I6cIi65IeM.jpg" TargetMode="External"/><Relationship Id="rId46" Type="http://schemas.openxmlformats.org/officeDocument/2006/relationships/hyperlink" Target="https://www.themoviedb.org/movie/297802" TargetMode="External"/><Relationship Id="rId45" Type="http://schemas.openxmlformats.org/officeDocument/2006/relationships/hyperlink" Target="https://image.tmdb.org/t/p/w342/ufl63EFcc5XpByEV2Ecdw6WJZAI.jpg" TargetMode="External"/><Relationship Id="rId509" Type="http://schemas.openxmlformats.org/officeDocument/2006/relationships/hyperlink" Target="https://image.tmdb.org/t/p/w342/tWsNYbrqy1p1w6K9zRk0mSchztT.jpg" TargetMode="External"/><Relationship Id="rId508" Type="http://schemas.openxmlformats.org/officeDocument/2006/relationships/hyperlink" Target="https://www.themoviedb.org/movie/762504" TargetMode="External"/><Relationship Id="rId503" Type="http://schemas.openxmlformats.org/officeDocument/2006/relationships/hyperlink" Target="https://image.tmdb.org/t/p/w342/6d5XOczc226jECq0LIX0siKtgHR.jpg" TargetMode="External"/><Relationship Id="rId745" Type="http://schemas.openxmlformats.org/officeDocument/2006/relationships/hyperlink" Target="https://image.tmdb.org/t/p/w342/ux2dU1jQ2ACIMShzB3yP93Udpzc.jpg" TargetMode="External"/><Relationship Id="rId502" Type="http://schemas.openxmlformats.org/officeDocument/2006/relationships/hyperlink" Target="https://www.themoviedb.org/movie/10160" TargetMode="External"/><Relationship Id="rId744" Type="http://schemas.openxmlformats.org/officeDocument/2006/relationships/hyperlink" Target="https://www.themoviedb.org/movie/10292" TargetMode="External"/><Relationship Id="rId501" Type="http://schemas.openxmlformats.org/officeDocument/2006/relationships/hyperlink" Target="https://image.tmdb.org/t/p/w342/kizvpgXQfrAgN8FhOd87LbKk6kO.jpg" TargetMode="External"/><Relationship Id="rId743" Type="http://schemas.openxmlformats.org/officeDocument/2006/relationships/hyperlink" Target="https://image.tmdb.org/t/p/w342/Avlo5JZOBXWx4oymtkXfCaomV5Y.jpg" TargetMode="External"/><Relationship Id="rId500" Type="http://schemas.openxmlformats.org/officeDocument/2006/relationships/hyperlink" Target="https://www.themoviedb.org/movie/10131" TargetMode="External"/><Relationship Id="rId742" Type="http://schemas.openxmlformats.org/officeDocument/2006/relationships/hyperlink" Target="https://www.themoviedb.org/movie/145197" TargetMode="External"/><Relationship Id="rId507" Type="http://schemas.openxmlformats.org/officeDocument/2006/relationships/hyperlink" Target="https://image.tmdb.org/t/p/w342/AcKVlWaNVVVFQwro3nLXqPljcYA.jpg" TargetMode="External"/><Relationship Id="rId749" Type="http://schemas.openxmlformats.org/officeDocument/2006/relationships/hyperlink" Target="https://image.tmdb.org/t/p/w342/aM3wnZTKEuPLDwxuMWcHDibOkiw.jpg" TargetMode="External"/><Relationship Id="rId506" Type="http://schemas.openxmlformats.org/officeDocument/2006/relationships/hyperlink" Target="https://www.themoviedb.org/movie/41630" TargetMode="External"/><Relationship Id="rId748" Type="http://schemas.openxmlformats.org/officeDocument/2006/relationships/hyperlink" Target="https://www.themoviedb.org/movie/159117" TargetMode="External"/><Relationship Id="rId505" Type="http://schemas.openxmlformats.org/officeDocument/2006/relationships/hyperlink" Target="https://image.tmdb.org/t/p/w342/9C09L1U9S13J4Ut029Qhu0oLcTQ.jpg" TargetMode="External"/><Relationship Id="rId747" Type="http://schemas.openxmlformats.org/officeDocument/2006/relationships/hyperlink" Target="https://image.tmdb.org/t/p/w342/o4hcWsHaHaNQ9BBReOxLvYJNRhA.jpg" TargetMode="External"/><Relationship Id="rId504" Type="http://schemas.openxmlformats.org/officeDocument/2006/relationships/hyperlink" Target="https://www.themoviedb.org/movie/6977" TargetMode="External"/><Relationship Id="rId746" Type="http://schemas.openxmlformats.org/officeDocument/2006/relationships/hyperlink" Target="https://www.themoviedb.org/movie/458723" TargetMode="External"/><Relationship Id="rId48" Type="http://schemas.openxmlformats.org/officeDocument/2006/relationships/hyperlink" Target="https://www.themoviedb.org/movie/256274" TargetMode="External"/><Relationship Id="rId47" Type="http://schemas.openxmlformats.org/officeDocument/2006/relationships/hyperlink" Target="https://image.tmdb.org/t/p/w342/oJZSajKLJkoTOzSZQN2ZwRnPwHZ.jpg" TargetMode="External"/><Relationship Id="rId49" Type="http://schemas.openxmlformats.org/officeDocument/2006/relationships/hyperlink" Target="https://image.tmdb.org/t/p/w342/zwGaUMm0wAqi0wkO7LJDlwoA5LP.jpg" TargetMode="External"/><Relationship Id="rId741" Type="http://schemas.openxmlformats.org/officeDocument/2006/relationships/hyperlink" Target="https://image.tmdb.org/t/p/w342/tQ4IWxSYIgZVWnQwLCG8r6sUraU.jpg" TargetMode="External"/><Relationship Id="rId740" Type="http://schemas.openxmlformats.org/officeDocument/2006/relationships/hyperlink" Target="https://www.themoviedb.org/movie/13788" TargetMode="External"/><Relationship Id="rId31" Type="http://schemas.openxmlformats.org/officeDocument/2006/relationships/hyperlink" Target="https://image.tmdb.org/t/p/w342/bSe8CBqK8HkbP6sqZWzcJfQV9Ci.jpg" TargetMode="External"/><Relationship Id="rId30" Type="http://schemas.openxmlformats.org/officeDocument/2006/relationships/hyperlink" Target="https://www.themoviedb.org/movie/218778" TargetMode="External"/><Relationship Id="rId33" Type="http://schemas.openxmlformats.org/officeDocument/2006/relationships/hyperlink" Target="https://image.tmdb.org/t/p/w342/vJgtfUmZE5i4L12sOryAPuBa04K.jpg" TargetMode="External"/><Relationship Id="rId32" Type="http://schemas.openxmlformats.org/officeDocument/2006/relationships/hyperlink" Target="https://www.themoviedb.org/movie/231001" TargetMode="External"/><Relationship Id="rId35" Type="http://schemas.openxmlformats.org/officeDocument/2006/relationships/hyperlink" Target="https://image.tmdb.org/t/p/w342/1XosEzjwTxL4NrVhn7ldunA3kfr.jpg" TargetMode="External"/><Relationship Id="rId34" Type="http://schemas.openxmlformats.org/officeDocument/2006/relationships/hyperlink" Target="https://www.themoviedb.org/movie/190859" TargetMode="External"/><Relationship Id="rId739" Type="http://schemas.openxmlformats.org/officeDocument/2006/relationships/hyperlink" Target="https://image.tmdb.org/t/p/w342/42H2aaD5UubsHyWt6zfrFMRP8y1.jpg" TargetMode="External"/><Relationship Id="rId734" Type="http://schemas.openxmlformats.org/officeDocument/2006/relationships/hyperlink" Target="https://www.themoviedb.org/movie/23202" TargetMode="External"/><Relationship Id="rId733" Type="http://schemas.openxmlformats.org/officeDocument/2006/relationships/hyperlink" Target="https://image.tmdb.org/t/p/w342/w0nmol4g7n6MFfhfphV7GzHHYjB.jpg" TargetMode="External"/><Relationship Id="rId732" Type="http://schemas.openxmlformats.org/officeDocument/2006/relationships/hyperlink" Target="https://www.themoviedb.org/movie/158852" TargetMode="External"/><Relationship Id="rId731" Type="http://schemas.openxmlformats.org/officeDocument/2006/relationships/hyperlink" Target="https://image.tmdb.org/t/p/w342/kziYpr5Nfw60P0My8aj1sgCEqed.jpg" TargetMode="External"/><Relationship Id="rId738" Type="http://schemas.openxmlformats.org/officeDocument/2006/relationships/hyperlink" Target="https://www.themoviedb.org/movie/46838" TargetMode="External"/><Relationship Id="rId737" Type="http://schemas.openxmlformats.org/officeDocument/2006/relationships/hyperlink" Target="https://image.tmdb.org/t/p/w342/8shwLEDzajJGSfLgbpac8x8xn1U.jpg" TargetMode="External"/><Relationship Id="rId736" Type="http://schemas.openxmlformats.org/officeDocument/2006/relationships/hyperlink" Target="https://www.themoviedb.org/movie/7446" TargetMode="External"/><Relationship Id="rId735" Type="http://schemas.openxmlformats.org/officeDocument/2006/relationships/hyperlink" Target="https://image.tmdb.org/t/p/w342/zAurB9mNxfYRoVrVjAJJwGV3sPg.jpg" TargetMode="External"/><Relationship Id="rId37" Type="http://schemas.openxmlformats.org/officeDocument/2006/relationships/hyperlink" Target="https://image.tmdb.org/t/p/w342/BAdmxMdCqzjs6hx3KuEtnoWP8d.jpg" TargetMode="External"/><Relationship Id="rId36" Type="http://schemas.openxmlformats.org/officeDocument/2006/relationships/hyperlink" Target="https://www.themoviedb.org/movie/13803" TargetMode="External"/><Relationship Id="rId39" Type="http://schemas.openxmlformats.org/officeDocument/2006/relationships/hyperlink" Target="https://image.tmdb.org/t/p/w342/yLsuU2P2SpDYFwtZQ7dtfVAf6TE.jpg" TargetMode="External"/><Relationship Id="rId38" Type="http://schemas.openxmlformats.org/officeDocument/2006/relationships/hyperlink" Target="https://www.themoviedb.org/movie/109443" TargetMode="External"/><Relationship Id="rId730" Type="http://schemas.openxmlformats.org/officeDocument/2006/relationships/hyperlink" Target="https://www.themoviedb.org/movie/76338" TargetMode="External"/><Relationship Id="rId20" Type="http://schemas.openxmlformats.org/officeDocument/2006/relationships/hyperlink" Target="https://www.themoviedb.org/movie/185341" TargetMode="External"/><Relationship Id="rId22" Type="http://schemas.openxmlformats.org/officeDocument/2006/relationships/hyperlink" Target="https://www.themoviedb.org/movie/80280" TargetMode="External"/><Relationship Id="rId21" Type="http://schemas.openxmlformats.org/officeDocument/2006/relationships/hyperlink" Target="https://image.tmdb.org/t/p/w342/tI1534q0Up7PBcLdXdFerLmIXn3.jpg" TargetMode="External"/><Relationship Id="rId24" Type="http://schemas.openxmlformats.org/officeDocument/2006/relationships/hyperlink" Target="https://www.themoviedb.org/movie/87436" TargetMode="External"/><Relationship Id="rId23" Type="http://schemas.openxmlformats.org/officeDocument/2006/relationships/hyperlink" Target="https://image.tmdb.org/t/p/w342/k3TcTGCgvvvhAiW9pkyWNz9CoNN.jpg" TargetMode="External"/><Relationship Id="rId525" Type="http://schemas.openxmlformats.org/officeDocument/2006/relationships/hyperlink" Target="https://image.tmdb.org/t/p/w342/gwynHc2RrOFaplYMMpQRpr3TIA4.jpg" TargetMode="External"/><Relationship Id="rId767" Type="http://schemas.openxmlformats.org/officeDocument/2006/relationships/hyperlink" Target="https://image.tmdb.org/t/p/w342/gwfgYA9wGpV4QLB0LrcexwfwC19.jpg" TargetMode="External"/><Relationship Id="rId524" Type="http://schemas.openxmlformats.org/officeDocument/2006/relationships/hyperlink" Target="https://www.themoviedb.org/movie/1933" TargetMode="External"/><Relationship Id="rId766" Type="http://schemas.openxmlformats.org/officeDocument/2006/relationships/hyperlink" Target="https://www.themoviedb.org/movie/281338" TargetMode="External"/><Relationship Id="rId523" Type="http://schemas.openxmlformats.org/officeDocument/2006/relationships/hyperlink" Target="https://image.tmdb.org/t/p/w342/p8g1vlTvpM6nr2hMMiZ1fUlKF0D.jpg" TargetMode="External"/><Relationship Id="rId765" Type="http://schemas.openxmlformats.org/officeDocument/2006/relationships/hyperlink" Target="https://image.tmdb.org/t/p/w342/3vYhLLxrTtZLysXtIWktmd57Snv.jpg" TargetMode="External"/><Relationship Id="rId522" Type="http://schemas.openxmlformats.org/officeDocument/2006/relationships/hyperlink" Target="https://www.themoviedb.org/movie/670" TargetMode="External"/><Relationship Id="rId764" Type="http://schemas.openxmlformats.org/officeDocument/2006/relationships/hyperlink" Target="https://www.themoviedb.org/movie/293670" TargetMode="External"/><Relationship Id="rId529" Type="http://schemas.openxmlformats.org/officeDocument/2006/relationships/hyperlink" Target="https://image.tmdb.org/t/p/w342/tmclkEpjeo4Zu564gf3KrwIOuKw.jpg" TargetMode="External"/><Relationship Id="rId528" Type="http://schemas.openxmlformats.org/officeDocument/2006/relationships/hyperlink" Target="https://www.themoviedb.org/movie/59968" TargetMode="External"/><Relationship Id="rId527" Type="http://schemas.openxmlformats.org/officeDocument/2006/relationships/hyperlink" Target="https://image.tmdb.org/t/p/w342/2HahJCcUEduvMUTQhsqRwutpFw1.jpg" TargetMode="External"/><Relationship Id="rId769" Type="http://schemas.openxmlformats.org/officeDocument/2006/relationships/hyperlink" Target="https://image.tmdb.org/t/p/w342/AtdYbs1SqYwFOLyi2v6ldVTawbn.jpg" TargetMode="External"/><Relationship Id="rId526" Type="http://schemas.openxmlformats.org/officeDocument/2006/relationships/hyperlink" Target="https://www.themoviedb.org/movie/335796" TargetMode="External"/><Relationship Id="rId768" Type="http://schemas.openxmlformats.org/officeDocument/2006/relationships/hyperlink" Target="https://www.themoviedb.org/movie/80035" TargetMode="External"/><Relationship Id="rId26" Type="http://schemas.openxmlformats.org/officeDocument/2006/relationships/hyperlink" Target="https://www.themoviedb.org/movie/3049" TargetMode="External"/><Relationship Id="rId25" Type="http://schemas.openxmlformats.org/officeDocument/2006/relationships/hyperlink" Target="https://image.tmdb.org/t/p/w342/pqiRuETmuSybfnVZ7qyeoXhQyN1.jpg" TargetMode="External"/><Relationship Id="rId28" Type="http://schemas.openxmlformats.org/officeDocument/2006/relationships/hyperlink" Target="https://www.themoviedb.org/movie/16614" TargetMode="External"/><Relationship Id="rId27" Type="http://schemas.openxmlformats.org/officeDocument/2006/relationships/hyperlink" Target="https://image.tmdb.org/t/p/w342/eeSJNAR1aWcgANq26KWIHm3cbyB.jpg" TargetMode="External"/><Relationship Id="rId521" Type="http://schemas.openxmlformats.org/officeDocument/2006/relationships/hyperlink" Target="https://image.tmdb.org/t/p/w342/pWDtjs568ZfOTMbURQBYuT4Qxka.jpg" TargetMode="External"/><Relationship Id="rId763" Type="http://schemas.openxmlformats.org/officeDocument/2006/relationships/hyperlink" Target="https://image.tmdb.org/t/p/w342/RbymxgEM5SpDfO2Io2JMFG10Vi.jpg" TargetMode="External"/><Relationship Id="rId29" Type="http://schemas.openxmlformats.org/officeDocument/2006/relationships/hyperlink" Target="https://image.tmdb.org/t/p/w342/pxbAepXQjsGFDHaR3dPndFSxDU0.jpg" TargetMode="External"/><Relationship Id="rId520" Type="http://schemas.openxmlformats.org/officeDocument/2006/relationships/hyperlink" Target="https://www.themoviedb.org/movie/11635" TargetMode="External"/><Relationship Id="rId762" Type="http://schemas.openxmlformats.org/officeDocument/2006/relationships/hyperlink" Target="https://www.themoviedb.org/movie/837" TargetMode="External"/><Relationship Id="rId761" Type="http://schemas.openxmlformats.org/officeDocument/2006/relationships/hyperlink" Target="https://image.tmdb.org/t/p/w342/qqqkiZSU9EBGZ1KiDmfn07S7qvv.jpg" TargetMode="External"/><Relationship Id="rId760" Type="http://schemas.openxmlformats.org/officeDocument/2006/relationships/hyperlink" Target="https://www.themoviedb.org/movie/55465" TargetMode="External"/><Relationship Id="rId11" Type="http://schemas.openxmlformats.org/officeDocument/2006/relationships/hyperlink" Target="https://image.tmdb.org/t/p/w342/mVeoqL37gzhMXQVpONi9DGOQ3tZ.jpg" TargetMode="External"/><Relationship Id="rId10" Type="http://schemas.openxmlformats.org/officeDocument/2006/relationships/hyperlink" Target="https://www.themoviedb.org/movie/62206" TargetMode="External"/><Relationship Id="rId13" Type="http://schemas.openxmlformats.org/officeDocument/2006/relationships/hyperlink" Target="https://image.tmdb.org/t/p/w342/iZ7jVGQWj3eBUdqwAPUlKk0BaS2.jpg" TargetMode="External"/><Relationship Id="rId12" Type="http://schemas.openxmlformats.org/officeDocument/2006/relationships/hyperlink" Target="https://www.themoviedb.org/movie/6957" TargetMode="External"/><Relationship Id="rId519" Type="http://schemas.openxmlformats.org/officeDocument/2006/relationships/hyperlink" Target="https://image.tmdb.org/t/p/w342/nYtuwNHpEoIbTgS3aFPSEwZNN6l.jpg" TargetMode="External"/><Relationship Id="rId514" Type="http://schemas.openxmlformats.org/officeDocument/2006/relationships/hyperlink" Target="https://www.themoviedb.org/movie/16991" TargetMode="External"/><Relationship Id="rId756" Type="http://schemas.openxmlformats.org/officeDocument/2006/relationships/hyperlink" Target="https://www.themoviedb.org/movie/1190868" TargetMode="External"/><Relationship Id="rId513" Type="http://schemas.openxmlformats.org/officeDocument/2006/relationships/hyperlink" Target="https://image.tmdb.org/t/p/w342/zHuouWUKlRK0SeIjzTlmtoPLrFA.jpg" TargetMode="External"/><Relationship Id="rId755" Type="http://schemas.openxmlformats.org/officeDocument/2006/relationships/hyperlink" Target="https://image.tmdb.org/t/p/w342/wXaf6VGNHIGU7qivapGOF7o4o4N.jpg" TargetMode="External"/><Relationship Id="rId512" Type="http://schemas.openxmlformats.org/officeDocument/2006/relationships/hyperlink" Target="https://www.themoviedb.org/movie/439079" TargetMode="External"/><Relationship Id="rId754" Type="http://schemas.openxmlformats.org/officeDocument/2006/relationships/hyperlink" Target="https://www.themoviedb.org/movie/1005776" TargetMode="External"/><Relationship Id="rId511" Type="http://schemas.openxmlformats.org/officeDocument/2006/relationships/hyperlink" Target="https://image.tmdb.org/t/p/w342/sFC1ElvoKGdHJIWRpNB3xWJ9lJA.jpg" TargetMode="External"/><Relationship Id="rId753" Type="http://schemas.openxmlformats.org/officeDocument/2006/relationships/hyperlink" Target="https://image.tmdb.org/t/p/w342/1bOMmFtnykBmvhFcx8zdXO6bCAa.jpg" TargetMode="External"/><Relationship Id="rId518" Type="http://schemas.openxmlformats.org/officeDocument/2006/relationships/hyperlink" Target="https://www.themoviedb.org/movie/1216191" TargetMode="External"/><Relationship Id="rId517" Type="http://schemas.openxmlformats.org/officeDocument/2006/relationships/hyperlink" Target="https://image.tmdb.org/t/p/w342/3Z9c1tbUhP0QruRjczPHnbx3U2D.jpg" TargetMode="External"/><Relationship Id="rId759" Type="http://schemas.openxmlformats.org/officeDocument/2006/relationships/hyperlink" Target="https://image.tmdb.org/t/p/w342/cncxLilRHKayn8VKhzjAMHkbN4f.jpg" TargetMode="External"/><Relationship Id="rId516" Type="http://schemas.openxmlformats.org/officeDocument/2006/relationships/hyperlink" Target="https://www.themoviedb.org/movie/157547" TargetMode="External"/><Relationship Id="rId758" Type="http://schemas.openxmlformats.org/officeDocument/2006/relationships/hyperlink" Target="https://www.themoviedb.org/movie/10294" TargetMode="External"/><Relationship Id="rId515" Type="http://schemas.openxmlformats.org/officeDocument/2006/relationships/hyperlink" Target="https://image.tmdb.org/t/p/w342/yCzR1yKRLiJyTDLgY1ppazXEmdE.jpg" TargetMode="External"/><Relationship Id="rId757" Type="http://schemas.openxmlformats.org/officeDocument/2006/relationships/hyperlink" Target="https://image.tmdb.org/t/p/w342/9nlJVsbebi1onTwGyJ3UHDNttID.jpg" TargetMode="External"/><Relationship Id="rId15" Type="http://schemas.openxmlformats.org/officeDocument/2006/relationships/hyperlink" Target="https://image.tmdb.org/t/p/w342/hgyJR4sgMsee6xMFM3xYiG6cDCh.jpg" TargetMode="External"/><Relationship Id="rId14" Type="http://schemas.openxmlformats.org/officeDocument/2006/relationships/hyperlink" Target="https://www.themoviedb.org/movie/109410" TargetMode="External"/><Relationship Id="rId17" Type="http://schemas.openxmlformats.org/officeDocument/2006/relationships/hyperlink" Target="https://image.tmdb.org/t/p/w342/4JG5WKfIGD6r7hdbqJVr2WKIxEe.jpg" TargetMode="External"/><Relationship Id="rId16" Type="http://schemas.openxmlformats.org/officeDocument/2006/relationships/hyperlink" Target="https://www.themoviedb.org/movie/8329" TargetMode="External"/><Relationship Id="rId19" Type="http://schemas.openxmlformats.org/officeDocument/2006/relationships/hyperlink" Target="https://image.tmdb.org/t/p/w342/vbflx4rDj3YrRAAk4HSWsEgZVlK.jpg" TargetMode="External"/><Relationship Id="rId510" Type="http://schemas.openxmlformats.org/officeDocument/2006/relationships/hyperlink" Target="https://www.themoviedb.org/movie/75656" TargetMode="External"/><Relationship Id="rId752" Type="http://schemas.openxmlformats.org/officeDocument/2006/relationships/hyperlink" Target="https://www.themoviedb.org/movie/753453" TargetMode="External"/><Relationship Id="rId18" Type="http://schemas.openxmlformats.org/officeDocument/2006/relationships/hyperlink" Target="https://www.themoviedb.org/movie/10664" TargetMode="External"/><Relationship Id="rId751" Type="http://schemas.openxmlformats.org/officeDocument/2006/relationships/hyperlink" Target="https://image.tmdb.org/t/p/w342/9fSogEkqDfJQTuGHsTFloQz3Tw8.jpg" TargetMode="External"/><Relationship Id="rId750" Type="http://schemas.openxmlformats.org/officeDocument/2006/relationships/hyperlink" Target="https://www.themoviedb.org/movie/1032948" TargetMode="External"/><Relationship Id="rId84" Type="http://schemas.openxmlformats.org/officeDocument/2006/relationships/hyperlink" Target="https://www.themoviedb.org/movie/18480" TargetMode="External"/><Relationship Id="rId83" Type="http://schemas.openxmlformats.org/officeDocument/2006/relationships/hyperlink" Target="https://image.tmdb.org/t/p/w342/wcUc7TYtsb72dHVb51sYaGIvQsr.jpg" TargetMode="External"/><Relationship Id="rId86" Type="http://schemas.openxmlformats.org/officeDocument/2006/relationships/hyperlink" Target="https://www.themoviedb.org/movie/701387" TargetMode="External"/><Relationship Id="rId85" Type="http://schemas.openxmlformats.org/officeDocument/2006/relationships/hyperlink" Target="https://image.tmdb.org/t/p/w342/oxgsAQDAAxA92mFGYCZllgWkH9J.jpg" TargetMode="External"/><Relationship Id="rId88" Type="http://schemas.openxmlformats.org/officeDocument/2006/relationships/hyperlink" Target="https://www.themoviedb.org/movie/11547" TargetMode="External"/><Relationship Id="rId87" Type="http://schemas.openxmlformats.org/officeDocument/2006/relationships/hyperlink" Target="https://image.tmdb.org/t/p/w342/vaUkSL7PbeeKfdFKOh9TYR9M1ds.jpg" TargetMode="External"/><Relationship Id="rId89" Type="http://schemas.openxmlformats.org/officeDocument/2006/relationships/hyperlink" Target="https://image.tmdb.org/t/p/w342/zZZe5wn0udlhMtdlDjN4NB72R6e.jpg" TargetMode="External"/><Relationship Id="rId709" Type="http://schemas.openxmlformats.org/officeDocument/2006/relationships/hyperlink" Target="https://image.tmdb.org/t/p/w342/38C91I7Xft0gyY7BITm8i4yvuRb.jpg" TargetMode="External"/><Relationship Id="rId708" Type="http://schemas.openxmlformats.org/officeDocument/2006/relationships/hyperlink" Target="https://www.themoviedb.org/movie/3989" TargetMode="External"/><Relationship Id="rId707" Type="http://schemas.openxmlformats.org/officeDocument/2006/relationships/hyperlink" Target="https://image.tmdb.org/t/p/w342/m1Q2VFe1DVVbjfu1LDZe7tlp9yb.jpg" TargetMode="External"/><Relationship Id="rId706" Type="http://schemas.openxmlformats.org/officeDocument/2006/relationships/hyperlink" Target="https://www.themoviedb.org/movie/38757" TargetMode="External"/><Relationship Id="rId80" Type="http://schemas.openxmlformats.org/officeDocument/2006/relationships/hyperlink" Target="https://www.themoviedb.org/movie/2501" TargetMode="External"/><Relationship Id="rId82" Type="http://schemas.openxmlformats.org/officeDocument/2006/relationships/hyperlink" Target="https://www.themoviedb.org/movie/11932" TargetMode="External"/><Relationship Id="rId81" Type="http://schemas.openxmlformats.org/officeDocument/2006/relationships/hyperlink" Target="https://image.tmdb.org/t/p/w342/yaIPNOcC7ZRuwH3maNwP9qzIo5G.jpg" TargetMode="External"/><Relationship Id="rId701" Type="http://schemas.openxmlformats.org/officeDocument/2006/relationships/hyperlink" Target="https://image.tmdb.org/t/p/w342/77i7EBUyQKOUiZeYQ5tWDGQb0AI.jpg" TargetMode="External"/><Relationship Id="rId700" Type="http://schemas.openxmlformats.org/officeDocument/2006/relationships/hyperlink" Target="https://www.themoviedb.org/movie/82675" TargetMode="External"/><Relationship Id="rId705" Type="http://schemas.openxmlformats.org/officeDocument/2006/relationships/hyperlink" Target="https://image.tmdb.org/t/p/w342/ym7Kst6a4uodryxqbGOxmewF235.jpg" TargetMode="External"/><Relationship Id="rId704" Type="http://schemas.openxmlformats.org/officeDocument/2006/relationships/hyperlink" Target="https://www.themoviedb.org/movie/1008042" TargetMode="External"/><Relationship Id="rId703" Type="http://schemas.openxmlformats.org/officeDocument/2006/relationships/hyperlink" Target="https://image.tmdb.org/t/p/w342/kdPMUMJzyYAc4roD52qavX0nLIC.jpg" TargetMode="External"/><Relationship Id="rId702" Type="http://schemas.openxmlformats.org/officeDocument/2006/relationships/hyperlink" Target="https://www.themoviedb.org/movie/297608" TargetMode="External"/><Relationship Id="rId73" Type="http://schemas.openxmlformats.org/officeDocument/2006/relationships/hyperlink" Target="https://image.tmdb.org/t/p/w342/v7x4P33lZwstVgxlZGze18hBlD.jpg" TargetMode="External"/><Relationship Id="rId72" Type="http://schemas.openxmlformats.org/officeDocument/2006/relationships/hyperlink" Target="https://www.themoviedb.org/movie/335984" TargetMode="External"/><Relationship Id="rId75" Type="http://schemas.openxmlformats.org/officeDocument/2006/relationships/hyperlink" Target="https://image.tmdb.org/t/p/w342/wnE24UPCPQsQnbBOu4zVE2qaDNm.jpg" TargetMode="External"/><Relationship Id="rId74" Type="http://schemas.openxmlformats.org/officeDocument/2006/relationships/hyperlink" Target="https://www.themoviedb.org/movie/472226" TargetMode="External"/><Relationship Id="rId77" Type="http://schemas.openxmlformats.org/officeDocument/2006/relationships/hyperlink" Target="https://image.tmdb.org/t/p/w342/kfkyALfD4G1mlBJI1lOt2QCra4i.jpg" TargetMode="External"/><Relationship Id="rId76" Type="http://schemas.openxmlformats.org/officeDocument/2006/relationships/hyperlink" Target="https://www.themoviedb.org/movie/4995" TargetMode="External"/><Relationship Id="rId79" Type="http://schemas.openxmlformats.org/officeDocument/2006/relationships/hyperlink" Target="https://image.tmdb.org/t/p/w342/aP8swke3gmowbkfZ6lmNidu0y9p.jpg" TargetMode="External"/><Relationship Id="rId78" Type="http://schemas.openxmlformats.org/officeDocument/2006/relationships/hyperlink" Target="https://www.themoviedb.org/movie/496" TargetMode="External"/><Relationship Id="rId71" Type="http://schemas.openxmlformats.org/officeDocument/2006/relationships/hyperlink" Target="https://image.tmdb.org/t/p/w342/gajva2L0rPYkEWjzgFlBXCAVBE5.jpg" TargetMode="External"/><Relationship Id="rId70" Type="http://schemas.openxmlformats.org/officeDocument/2006/relationships/hyperlink" Target="https://www.themoviedb.org/movie/3603" TargetMode="External"/><Relationship Id="rId62" Type="http://schemas.openxmlformats.org/officeDocument/2006/relationships/hyperlink" Target="https://www.themoviedb.org/movie/10961" TargetMode="External"/><Relationship Id="rId61" Type="http://schemas.openxmlformats.org/officeDocument/2006/relationships/hyperlink" Target="https://image.tmdb.org/t/p/w342/vie8a3z219Zsw81eAsM58B6VFEn.jpg" TargetMode="External"/><Relationship Id="rId64" Type="http://schemas.openxmlformats.org/officeDocument/2006/relationships/hyperlink" Target="https://www.themoviedb.org/movie/115" TargetMode="External"/><Relationship Id="rId63" Type="http://schemas.openxmlformats.org/officeDocument/2006/relationships/hyperlink" Target="https://image.tmdb.org/t/p/w342/3bv6WAp6BSxxYvB5ozKFUYuRA8C.jpg" TargetMode="External"/><Relationship Id="rId66" Type="http://schemas.openxmlformats.org/officeDocument/2006/relationships/hyperlink" Target="https://www.themoviedb.org/movie/756999" TargetMode="External"/><Relationship Id="rId65" Type="http://schemas.openxmlformats.org/officeDocument/2006/relationships/hyperlink" Target="https://image.tmdb.org/t/p/w342/p9ZUzCyy9wRTDuuQexkQ78R2BgF.jpg" TargetMode="External"/><Relationship Id="rId68" Type="http://schemas.openxmlformats.org/officeDocument/2006/relationships/hyperlink" Target="https://www.themoviedb.org/movie/1197137" TargetMode="External"/><Relationship Id="rId67" Type="http://schemas.openxmlformats.org/officeDocument/2006/relationships/hyperlink" Target="https://image.tmdb.org/t/p/w342/gFddBLQ8wj9M9O82iPzgX5KVNHz.jpg" TargetMode="External"/><Relationship Id="rId729" Type="http://schemas.openxmlformats.org/officeDocument/2006/relationships/hyperlink" Target="https://image.tmdb.org/t/p/w342/wp6OxE4poJ4G7c0U2ZIXasTSMR7.jpg" TargetMode="External"/><Relationship Id="rId728" Type="http://schemas.openxmlformats.org/officeDocument/2006/relationships/hyperlink" Target="https://www.themoviedb.org/movie/87428" TargetMode="External"/><Relationship Id="rId60" Type="http://schemas.openxmlformats.org/officeDocument/2006/relationships/hyperlink" Target="https://www.themoviedb.org/movie/3176" TargetMode="External"/><Relationship Id="rId723" Type="http://schemas.openxmlformats.org/officeDocument/2006/relationships/hyperlink" Target="https://image.tmdb.org/t/p/w342/mpgkRPH1GNkMCgdPk2OMyHzAks7.jpg" TargetMode="External"/><Relationship Id="rId722" Type="http://schemas.openxmlformats.org/officeDocument/2006/relationships/hyperlink" Target="https://www.themoviedb.org/movie/1034541" TargetMode="External"/><Relationship Id="rId721" Type="http://schemas.openxmlformats.org/officeDocument/2006/relationships/hyperlink" Target="https://image.tmdb.org/t/p/w342/ju10W5gl3PPK3b7TjEmVOZap51I.jpg" TargetMode="External"/><Relationship Id="rId720" Type="http://schemas.openxmlformats.org/officeDocument/2006/relationships/hyperlink" Target="https://www.themoviedb.org/movie/663712" TargetMode="External"/><Relationship Id="rId727" Type="http://schemas.openxmlformats.org/officeDocument/2006/relationships/hyperlink" Target="https://image.tmdb.org/t/p/w342/oaLhdRsZ5Mq8VfZtA4Wlvjzzn0X.jpg" TargetMode="External"/><Relationship Id="rId726" Type="http://schemas.openxmlformats.org/officeDocument/2006/relationships/hyperlink" Target="https://www.themoviedb.org/movie/9373" TargetMode="External"/><Relationship Id="rId725" Type="http://schemas.openxmlformats.org/officeDocument/2006/relationships/hyperlink" Target="https://image.tmdb.org/t/p/w342/781px1eOtfVt1RdIsL4Dt1s3x7R.jpg" TargetMode="External"/><Relationship Id="rId724" Type="http://schemas.openxmlformats.org/officeDocument/2006/relationships/hyperlink" Target="https://www.themoviedb.org/movie/30497" TargetMode="External"/><Relationship Id="rId69" Type="http://schemas.openxmlformats.org/officeDocument/2006/relationships/hyperlink" Target="https://image.tmdb.org/t/p/w342/b6Spp82Tg8rv4YUSHGWFqFbgp0q.jpg" TargetMode="External"/><Relationship Id="rId51" Type="http://schemas.openxmlformats.org/officeDocument/2006/relationships/hyperlink" Target="https://image.tmdb.org/t/p/w342/6K0wjP8kPCiPYy9PtXBGuypyt5I.jpg" TargetMode="External"/><Relationship Id="rId50" Type="http://schemas.openxmlformats.org/officeDocument/2006/relationships/hyperlink" Target="https://www.themoviedb.org/movie/11075" TargetMode="External"/><Relationship Id="rId53" Type="http://schemas.openxmlformats.org/officeDocument/2006/relationships/hyperlink" Target="https://image.tmdb.org/t/p/w342/dDSMzBEaM0LYSy9Muo0zsCo77Vh.jpg" TargetMode="External"/><Relationship Id="rId52" Type="http://schemas.openxmlformats.org/officeDocument/2006/relationships/hyperlink" Target="https://www.themoviedb.org/movie/397243" TargetMode="External"/><Relationship Id="rId55" Type="http://schemas.openxmlformats.org/officeDocument/2006/relationships/hyperlink" Target="https://image.tmdb.org/t/p/w342/rfClLIyeHqpMofmrPY8DaLe4z9x.jpg" TargetMode="External"/><Relationship Id="rId54" Type="http://schemas.openxmlformats.org/officeDocument/2006/relationships/hyperlink" Target="https://www.themoviedb.org/movie/208134" TargetMode="External"/><Relationship Id="rId57" Type="http://schemas.openxmlformats.org/officeDocument/2006/relationships/hyperlink" Target="https://image.tmdb.org/t/p/w342/sPX89Td70IDDjVr85jdSBb4rWGr.jpg" TargetMode="External"/><Relationship Id="rId56" Type="http://schemas.openxmlformats.org/officeDocument/2006/relationships/hyperlink" Target="https://www.themoviedb.org/movie/10147" TargetMode="External"/><Relationship Id="rId719" Type="http://schemas.openxmlformats.org/officeDocument/2006/relationships/hyperlink" Target="https://image.tmdb.org/t/p/w342/qEAlwXbYk6IHA4ztoS2XFFaa7Xo.jpg" TargetMode="External"/><Relationship Id="rId718" Type="http://schemas.openxmlformats.org/officeDocument/2006/relationships/hyperlink" Target="https://www.themoviedb.org/movie/420634" TargetMode="External"/><Relationship Id="rId717" Type="http://schemas.openxmlformats.org/officeDocument/2006/relationships/hyperlink" Target="https://image.tmdb.org/t/p/w342/fjXqhGmaeQpB73WerhrYU6HlyV5.jpg" TargetMode="External"/><Relationship Id="rId712" Type="http://schemas.openxmlformats.org/officeDocument/2006/relationships/hyperlink" Target="https://www.themoviedb.org/movie/2179" TargetMode="External"/><Relationship Id="rId711" Type="http://schemas.openxmlformats.org/officeDocument/2006/relationships/hyperlink" Target="https://image.tmdb.org/t/p/w342/7NmDIj5I1OFOZfYFnS3uWtM7WMO.jpg" TargetMode="External"/><Relationship Id="rId710" Type="http://schemas.openxmlformats.org/officeDocument/2006/relationships/hyperlink" Target="https://www.themoviedb.org/movie/214756" TargetMode="External"/><Relationship Id="rId716" Type="http://schemas.openxmlformats.org/officeDocument/2006/relationships/hyperlink" Target="https://www.themoviedb.org/movie/489430" TargetMode="External"/><Relationship Id="rId715" Type="http://schemas.openxmlformats.org/officeDocument/2006/relationships/hyperlink" Target="https://image.tmdb.org/t/p/w342/eMP4F0POBgrB4icn6XgYeLLIrld.jpg" TargetMode="External"/><Relationship Id="rId714" Type="http://schemas.openxmlformats.org/officeDocument/2006/relationships/hyperlink" Target="https://www.themoviedb.org/movie/296" TargetMode="External"/><Relationship Id="rId713" Type="http://schemas.openxmlformats.org/officeDocument/2006/relationships/hyperlink" Target="https://image.tmdb.org/t/p/w342/vvevzdYIrk2636maNW4qeWmlPFG.jpg" TargetMode="External"/><Relationship Id="rId59" Type="http://schemas.openxmlformats.org/officeDocument/2006/relationships/hyperlink" Target="https://image.tmdb.org/t/p/w342/aLGKAQKgzWpJ6egyWzzC11jXBRJ.jpg" TargetMode="External"/><Relationship Id="rId58" Type="http://schemas.openxmlformats.org/officeDocument/2006/relationships/hyperlink" Target="https://www.themoviedb.org/movie/272" TargetMode="External"/><Relationship Id="rId590" Type="http://schemas.openxmlformats.org/officeDocument/2006/relationships/hyperlink" Target="https://www.themoviedb.org/movie/2671" TargetMode="External"/><Relationship Id="rId107" Type="http://schemas.openxmlformats.org/officeDocument/2006/relationships/hyperlink" Target="https://image.tmdb.org/t/p/w342/r8S7cc676EfgfUDVQKPrqRlbRFz.jpg" TargetMode="External"/><Relationship Id="rId349" Type="http://schemas.openxmlformats.org/officeDocument/2006/relationships/hyperlink" Target="https://image.tmdb.org/t/p/w342/xUk5AGcGvybPBvvMqrDPbAFAknD.jpg" TargetMode="External"/><Relationship Id="rId106" Type="http://schemas.openxmlformats.org/officeDocument/2006/relationships/hyperlink" Target="https://www.themoviedb.org/movie/840" TargetMode="External"/><Relationship Id="rId348" Type="http://schemas.openxmlformats.org/officeDocument/2006/relationships/hyperlink" Target="https://www.themoviedb.org/movie/74997" TargetMode="External"/><Relationship Id="rId105" Type="http://schemas.openxmlformats.org/officeDocument/2006/relationships/hyperlink" Target="https://image.tmdb.org/t/p/w342/yaPx3cK9zGFX3SbcKwxWM1QIbUh.jpg" TargetMode="External"/><Relationship Id="rId347" Type="http://schemas.openxmlformats.org/officeDocument/2006/relationships/hyperlink" Target="https://image.tmdb.org/t/p/w342/9YEUMnMhIjD5ek4zIqOhLSnTnJS.jpg" TargetMode="External"/><Relationship Id="rId589" Type="http://schemas.openxmlformats.org/officeDocument/2006/relationships/hyperlink" Target="https://image.tmdb.org/t/p/w342/1YINof6kN5yRdePEbcU5360ejoq.jpg" TargetMode="External"/><Relationship Id="rId104" Type="http://schemas.openxmlformats.org/officeDocument/2006/relationships/hyperlink" Target="https://www.themoviedb.org/movie/185" TargetMode="External"/><Relationship Id="rId346" Type="http://schemas.openxmlformats.org/officeDocument/2006/relationships/hyperlink" Target="https://www.themoviedb.org/movie/166428" TargetMode="External"/><Relationship Id="rId588" Type="http://schemas.openxmlformats.org/officeDocument/2006/relationships/hyperlink" Target="https://www.themoviedb.org/movie/120" TargetMode="External"/><Relationship Id="rId109" Type="http://schemas.openxmlformats.org/officeDocument/2006/relationships/hyperlink" Target="https://image.tmdb.org/t/p/w342/ezUtb9m5DeLwL2gxi4gktzNCvQv.jpg" TargetMode="External"/><Relationship Id="rId108" Type="http://schemas.openxmlformats.org/officeDocument/2006/relationships/hyperlink" Target="https://www.themoviedb.org/movie/1056380" TargetMode="External"/><Relationship Id="rId341" Type="http://schemas.openxmlformats.org/officeDocument/2006/relationships/hyperlink" Target="https://image.tmdb.org/t/p/w342/ygGmAO60t8GyqUo9xYeYxSZAR3b.jpg" TargetMode="External"/><Relationship Id="rId583" Type="http://schemas.openxmlformats.org/officeDocument/2006/relationships/hyperlink" Target="https://image.tmdb.org/t/p/w342/pU1ULUq8D3iRxl1fdX2lZIzdHuI.jpg" TargetMode="External"/><Relationship Id="rId340" Type="http://schemas.openxmlformats.org/officeDocument/2006/relationships/hyperlink" Target="https://www.themoviedb.org/movie/466344" TargetMode="External"/><Relationship Id="rId582" Type="http://schemas.openxmlformats.org/officeDocument/2006/relationships/hyperlink" Target="https://www.themoviedb.org/movie/567609" TargetMode="External"/><Relationship Id="rId581" Type="http://schemas.openxmlformats.org/officeDocument/2006/relationships/hyperlink" Target="https://image.tmdb.org/t/p/w342/oJD9KQFoObZmxAS1je56SIFVNJt.jpg" TargetMode="External"/><Relationship Id="rId580" Type="http://schemas.openxmlformats.org/officeDocument/2006/relationships/hyperlink" Target="https://www.themoviedb.org/movie/393519" TargetMode="External"/><Relationship Id="rId103" Type="http://schemas.openxmlformats.org/officeDocument/2006/relationships/hyperlink" Target="https://image.tmdb.org/t/p/w342/4sHeTAp65WrSSuc05nRBKddhBxO.jpg" TargetMode="External"/><Relationship Id="rId345" Type="http://schemas.openxmlformats.org/officeDocument/2006/relationships/hyperlink" Target="https://image.tmdb.org/t/p/w342/xvx4Yhf0DVH8G4LzNISpMfFBDy2.jpg" TargetMode="External"/><Relationship Id="rId587" Type="http://schemas.openxmlformats.org/officeDocument/2006/relationships/hyperlink" Target="https://image.tmdb.org/t/p/w342/6oom5QYQ2yQTMJIbnvbkBL9cHo6.jpg" TargetMode="External"/><Relationship Id="rId102" Type="http://schemas.openxmlformats.org/officeDocument/2006/relationships/hyperlink" Target="https://www.themoviedb.org/movie/11187" TargetMode="External"/><Relationship Id="rId344" Type="http://schemas.openxmlformats.org/officeDocument/2006/relationships/hyperlink" Target="https://www.themoviedb.org/movie/82702" TargetMode="External"/><Relationship Id="rId586" Type="http://schemas.openxmlformats.org/officeDocument/2006/relationships/hyperlink" Target="https://www.themoviedb.org/movie/13564" TargetMode="External"/><Relationship Id="rId101" Type="http://schemas.openxmlformats.org/officeDocument/2006/relationships/hyperlink" Target="https://image.tmdb.org/t/p/w342/6toMk9OCuDYEEf733Bzlq3yiw3z.jpg" TargetMode="External"/><Relationship Id="rId343" Type="http://schemas.openxmlformats.org/officeDocument/2006/relationships/hyperlink" Target="https://image.tmdb.org/t/p/w342/d13Uj86LdbDLrfDoHR5aDOFYyJC.jpg" TargetMode="External"/><Relationship Id="rId585" Type="http://schemas.openxmlformats.org/officeDocument/2006/relationships/hyperlink" Target="https://image.tmdb.org/t/p/w342/ipBiyifbFqY0ZduO3R9OPBjc2pH.jpg" TargetMode="External"/><Relationship Id="rId100" Type="http://schemas.openxmlformats.org/officeDocument/2006/relationships/hyperlink" Target="https://www.themoviedb.org/movie/11186" TargetMode="External"/><Relationship Id="rId342" Type="http://schemas.openxmlformats.org/officeDocument/2006/relationships/hyperlink" Target="https://www.themoviedb.org/movie/10191" TargetMode="External"/><Relationship Id="rId584" Type="http://schemas.openxmlformats.org/officeDocument/2006/relationships/hyperlink" Target="https://www.themoviedb.org/movie/333339" TargetMode="External"/><Relationship Id="rId338" Type="http://schemas.openxmlformats.org/officeDocument/2006/relationships/hyperlink" Target="https://www.themoviedb.org/movie/293572" TargetMode="External"/><Relationship Id="rId337" Type="http://schemas.openxmlformats.org/officeDocument/2006/relationships/hyperlink" Target="https://image.tmdb.org/t/p/w342/yGTHvZE1ggog8w06kqg1HyTANjT.jpg" TargetMode="External"/><Relationship Id="rId579" Type="http://schemas.openxmlformats.org/officeDocument/2006/relationships/hyperlink" Target="https://image.tmdb.org/t/p/w342/kc8jT1MAiKM0iwdjAwC5lQrTNry.jpg" TargetMode="External"/><Relationship Id="rId336" Type="http://schemas.openxmlformats.org/officeDocument/2006/relationships/hyperlink" Target="https://www.themoviedb.org/movie/398173" TargetMode="External"/><Relationship Id="rId578" Type="http://schemas.openxmlformats.org/officeDocument/2006/relationships/hyperlink" Target="https://www.themoviedb.org/movie/316727" TargetMode="External"/><Relationship Id="rId335" Type="http://schemas.openxmlformats.org/officeDocument/2006/relationships/hyperlink" Target="https://image.tmdb.org/t/p/w342/bMUGNkPaHOurcBK9g3XpJx3fxuO.jpg" TargetMode="External"/><Relationship Id="rId577" Type="http://schemas.openxmlformats.org/officeDocument/2006/relationships/hyperlink" Target="https://image.tmdb.org/t/p/w342/gg7tlp45xqGWMra0sqQVPvybje2.jpg" TargetMode="External"/><Relationship Id="rId339" Type="http://schemas.openxmlformats.org/officeDocument/2006/relationships/hyperlink" Target="https://image.tmdb.org/t/p/w342/9ePD42CjuXgwsFNDl3EC8KRi0XC.jpg" TargetMode="External"/><Relationship Id="rId330" Type="http://schemas.openxmlformats.org/officeDocument/2006/relationships/hyperlink" Target="https://www.themoviedb.org/movie/23048" TargetMode="External"/><Relationship Id="rId572" Type="http://schemas.openxmlformats.org/officeDocument/2006/relationships/hyperlink" Target="https://www.themoviedb.org/movie/27324" TargetMode="External"/><Relationship Id="rId571" Type="http://schemas.openxmlformats.org/officeDocument/2006/relationships/hyperlink" Target="https://image.tmdb.org/t/p/w342/c3zEimDraIyMSasPMGDaNOrhnzn.jpg" TargetMode="External"/><Relationship Id="rId570" Type="http://schemas.openxmlformats.org/officeDocument/2006/relationships/hyperlink" Target="https://www.themoviedb.org/movie/18240" TargetMode="External"/><Relationship Id="rId334" Type="http://schemas.openxmlformats.org/officeDocument/2006/relationships/hyperlink" Target="https://www.themoviedb.org/movie/10066" TargetMode="External"/><Relationship Id="rId576" Type="http://schemas.openxmlformats.org/officeDocument/2006/relationships/hyperlink" Target="https://www.themoviedb.org/movie/238636" TargetMode="External"/><Relationship Id="rId333" Type="http://schemas.openxmlformats.org/officeDocument/2006/relationships/hyperlink" Target="https://image.tmdb.org/t/p/w342/aCLSgw1DaqkRvosYc3YUttBTtpT.jpg" TargetMode="External"/><Relationship Id="rId575" Type="http://schemas.openxmlformats.org/officeDocument/2006/relationships/hyperlink" Target="https://image.tmdb.org/t/p/w342/qwqHHZLZSUvMkAMQ47ymtfjEifY.jpg" TargetMode="External"/><Relationship Id="rId332" Type="http://schemas.openxmlformats.org/officeDocument/2006/relationships/hyperlink" Target="https://www.themoviedb.org/movie/2662" TargetMode="External"/><Relationship Id="rId574" Type="http://schemas.openxmlformats.org/officeDocument/2006/relationships/hyperlink" Target="https://www.themoviedb.org/movie/158015" TargetMode="External"/><Relationship Id="rId331" Type="http://schemas.openxmlformats.org/officeDocument/2006/relationships/hyperlink" Target="https://image.tmdb.org/t/p/w342/29c2qgXmSREosLBevOILEuMWzQC.jpg" TargetMode="External"/><Relationship Id="rId573" Type="http://schemas.openxmlformats.org/officeDocument/2006/relationships/hyperlink" Target="https://image.tmdb.org/t/p/w342/46X1ei9uf13nkkr0OhWldGyr5Uh.jpg" TargetMode="External"/><Relationship Id="rId370" Type="http://schemas.openxmlformats.org/officeDocument/2006/relationships/hyperlink" Target="https://www.themoviedb.org/movie/346364" TargetMode="External"/><Relationship Id="rId129" Type="http://schemas.openxmlformats.org/officeDocument/2006/relationships/hyperlink" Target="https://image.tmdb.org/t/p/w342/4jeFXQYytChdZYE9JYO7Un87IlW.jpg" TargetMode="External"/><Relationship Id="rId128" Type="http://schemas.openxmlformats.org/officeDocument/2006/relationships/hyperlink" Target="https://www.themoviedb.org/movie/23742" TargetMode="External"/><Relationship Id="rId127" Type="http://schemas.openxmlformats.org/officeDocument/2006/relationships/hyperlink" Target="https://image.tmdb.org/t/p/w342/qA31i7FPVDHezuoevx3497CvZd4.jpg" TargetMode="External"/><Relationship Id="rId369" Type="http://schemas.openxmlformats.org/officeDocument/2006/relationships/hyperlink" Target="https://image.tmdb.org/t/p/w342/9E2y5Q7WlCVNEhP5GiVTjhEhx1o.jpg" TargetMode="External"/><Relationship Id="rId126" Type="http://schemas.openxmlformats.org/officeDocument/2006/relationships/hyperlink" Target="https://www.themoviedb.org/movie/423108" TargetMode="External"/><Relationship Id="rId368" Type="http://schemas.openxmlformats.org/officeDocument/2006/relationships/hyperlink" Target="https://www.themoviedb.org/movie/157336" TargetMode="External"/><Relationship Id="rId121" Type="http://schemas.openxmlformats.org/officeDocument/2006/relationships/hyperlink" Target="https://image.tmdb.org/t/p/w342/zEqyD0SBt6HL7W9JQoWwtd5Do1T.jpg" TargetMode="External"/><Relationship Id="rId363" Type="http://schemas.openxmlformats.org/officeDocument/2006/relationships/hyperlink" Target="https://image.tmdb.org/t/p/w342/w5JjiB3O1CLDXbTJe1QpU5RHmlU.jpg" TargetMode="External"/><Relationship Id="rId120" Type="http://schemas.openxmlformats.org/officeDocument/2006/relationships/hyperlink" Target="https://www.themoviedb.org/movie/138843" TargetMode="External"/><Relationship Id="rId362" Type="http://schemas.openxmlformats.org/officeDocument/2006/relationships/hyperlink" Target="https://www.themoviedb.org/movie/13312" TargetMode="External"/><Relationship Id="rId361" Type="http://schemas.openxmlformats.org/officeDocument/2006/relationships/hyperlink" Target="https://image.tmdb.org/t/p/w342/7gPOYKxoBzhfC8cLNMU3CKgURcm.jpg" TargetMode="External"/><Relationship Id="rId360" Type="http://schemas.openxmlformats.org/officeDocument/2006/relationships/hyperlink" Target="https://www.themoviedb.org/movie/667216" TargetMode="External"/><Relationship Id="rId125" Type="http://schemas.openxmlformats.org/officeDocument/2006/relationships/hyperlink" Target="https://image.tmdb.org/t/p/w342/xbSuFiJbbBWCkyCCKIMfuDCA4yV.jpg" TargetMode="External"/><Relationship Id="rId367" Type="http://schemas.openxmlformats.org/officeDocument/2006/relationships/hyperlink" Target="https://image.tmdb.org/t/p/w342/yQvGrMoipbRoddT0ZR8tPoR7NfX.jpg" TargetMode="External"/><Relationship Id="rId124" Type="http://schemas.openxmlformats.org/officeDocument/2006/relationships/hyperlink" Target="https://www.themoviedb.org/movie/1038392" TargetMode="External"/><Relationship Id="rId366" Type="http://schemas.openxmlformats.org/officeDocument/2006/relationships/hyperlink" Target="https://www.themoviedb.org/movie/280092" TargetMode="External"/><Relationship Id="rId123" Type="http://schemas.openxmlformats.org/officeDocument/2006/relationships/hyperlink" Target="https://image.tmdb.org/t/p/w342/byWgphT74ClOVa8EOGzYDkl8DVL.jpg" TargetMode="External"/><Relationship Id="rId365" Type="http://schemas.openxmlformats.org/officeDocument/2006/relationships/hyperlink" Target="https://image.tmdb.org/t/p/w342/iDdGfdNvY1EX0uDdA4Ru77fwMfc.jpg" TargetMode="External"/><Relationship Id="rId122" Type="http://schemas.openxmlformats.org/officeDocument/2006/relationships/hyperlink" Target="https://www.themoviedb.org/movie/259693" TargetMode="External"/><Relationship Id="rId364" Type="http://schemas.openxmlformats.org/officeDocument/2006/relationships/hyperlink" Target="https://www.themoviedb.org/movie/91586" TargetMode="External"/><Relationship Id="rId95" Type="http://schemas.openxmlformats.org/officeDocument/2006/relationships/hyperlink" Target="https://image.tmdb.org/t/p/w342/nbug05AceVU8PMXIONDFxMRtq54.jpg" TargetMode="External"/><Relationship Id="rId94" Type="http://schemas.openxmlformats.org/officeDocument/2006/relationships/hyperlink" Target="https://www.themoviedb.org/movie/8689" TargetMode="External"/><Relationship Id="rId97" Type="http://schemas.openxmlformats.org/officeDocument/2006/relationships/hyperlink" Target="https://image.tmdb.org/t/p/w342/wvpgvcWNkF2HLuTEMIM7K83MvZ.jpg" TargetMode="External"/><Relationship Id="rId96" Type="http://schemas.openxmlformats.org/officeDocument/2006/relationships/hyperlink" Target="https://www.themoviedb.org/movie/744746" TargetMode="External"/><Relationship Id="rId99" Type="http://schemas.openxmlformats.org/officeDocument/2006/relationships/hyperlink" Target="https://image.tmdb.org/t/p/w342/2tPQbPQeHEYAGoXFSW61IWNmoce.jpg" TargetMode="External"/><Relationship Id="rId98" Type="http://schemas.openxmlformats.org/officeDocument/2006/relationships/hyperlink" Target="https://www.themoviedb.org/movie/10585" TargetMode="External"/><Relationship Id="rId91" Type="http://schemas.openxmlformats.org/officeDocument/2006/relationships/hyperlink" Target="https://image.tmdb.org/t/p/w342/jMWjJ13sFTT07DwjNlqh8VY4sK6.jpg" TargetMode="External"/><Relationship Id="rId90" Type="http://schemas.openxmlformats.org/officeDocument/2006/relationships/hyperlink" Target="https://www.themoviedb.org/movie/22970" TargetMode="External"/><Relationship Id="rId93" Type="http://schemas.openxmlformats.org/officeDocument/2006/relationships/hyperlink" Target="https://image.tmdb.org/t/p/w342/otxZzMh53TsN7yYFqSZ3rwH1yMd.jpg" TargetMode="External"/><Relationship Id="rId92" Type="http://schemas.openxmlformats.org/officeDocument/2006/relationships/hyperlink" Target="https://www.themoviedb.org/movie/77953" TargetMode="External"/><Relationship Id="rId118" Type="http://schemas.openxmlformats.org/officeDocument/2006/relationships/hyperlink" Target="https://www.themoviedb.org/movie/140212" TargetMode="External"/><Relationship Id="rId117" Type="http://schemas.openxmlformats.org/officeDocument/2006/relationships/hyperlink" Target="https://image.tmdb.org/t/p/w342/aA2WdIhq7e3grXFg6FZemRvbAIM.jpg" TargetMode="External"/><Relationship Id="rId359" Type="http://schemas.openxmlformats.org/officeDocument/2006/relationships/hyperlink" Target="https://image.tmdb.org/t/p/w342/cQKyNm0Nz6KWiDBQF9w4aZAmOfC.jpg" TargetMode="External"/><Relationship Id="rId116" Type="http://schemas.openxmlformats.org/officeDocument/2006/relationships/hyperlink" Target="https://www.themoviedb.org/movie/1084199" TargetMode="External"/><Relationship Id="rId358" Type="http://schemas.openxmlformats.org/officeDocument/2006/relationships/hyperlink" Target="https://www.themoviedb.org/movie/376570" TargetMode="External"/><Relationship Id="rId115" Type="http://schemas.openxmlformats.org/officeDocument/2006/relationships/hyperlink" Target="https://image.tmdb.org/t/p/w342/oCoTgC3UyWGfyQ9thE10ulWR7bn.jpg" TargetMode="External"/><Relationship Id="rId357" Type="http://schemas.openxmlformats.org/officeDocument/2006/relationships/hyperlink" Target="https://image.tmdb.org/t/p/w342/zHzBTd502IZf60x8n2g0TB01vPF.jpg" TargetMode="External"/><Relationship Id="rId599" Type="http://schemas.openxmlformats.org/officeDocument/2006/relationships/hyperlink" Target="https://image.tmdb.org/t/p/w342/mi5lh2brPMzuWYddyUKuCtcnjt1.jpg" TargetMode="External"/><Relationship Id="rId119" Type="http://schemas.openxmlformats.org/officeDocument/2006/relationships/hyperlink" Target="https://image.tmdb.org/t/p/w342/wVYREutTvI2tmxr6ujrHT704wGF.jpg" TargetMode="External"/><Relationship Id="rId110" Type="http://schemas.openxmlformats.org/officeDocument/2006/relationships/hyperlink" Target="https://www.themoviedb.org/movie/220289" TargetMode="External"/><Relationship Id="rId352" Type="http://schemas.openxmlformats.org/officeDocument/2006/relationships/hyperlink" Target="https://www.themoviedb.org/movie/37169" TargetMode="External"/><Relationship Id="rId594" Type="http://schemas.openxmlformats.org/officeDocument/2006/relationships/hyperlink" Target="https://www.themoviedb.org/movie/14564" TargetMode="External"/><Relationship Id="rId351" Type="http://schemas.openxmlformats.org/officeDocument/2006/relationships/hyperlink" Target="https://image.tmdb.org/t/p/w342/gMtjxIkEi0hnTV5lPHbgeZ4ZpUZ.jpg" TargetMode="External"/><Relationship Id="rId593" Type="http://schemas.openxmlformats.org/officeDocument/2006/relationships/hyperlink" Target="https://image.tmdb.org/t/p/w342/yp4CDOVpVmNwiPoZKQeFCpW8CFo.jpg" TargetMode="External"/><Relationship Id="rId350" Type="http://schemas.openxmlformats.org/officeDocument/2006/relationships/hyperlink" Target="https://www.themoviedb.org/movie/94365" TargetMode="External"/><Relationship Id="rId592" Type="http://schemas.openxmlformats.org/officeDocument/2006/relationships/hyperlink" Target="https://www.themoviedb.org/movie/10320" TargetMode="External"/><Relationship Id="rId591" Type="http://schemas.openxmlformats.org/officeDocument/2006/relationships/hyperlink" Target="https://image.tmdb.org/t/p/w342/bHbz7z2pecTawhkqLpuC2m0qywe.jpg" TargetMode="External"/><Relationship Id="rId114" Type="http://schemas.openxmlformats.org/officeDocument/2006/relationships/hyperlink" Target="https://www.themoviedb.org/movie/21407" TargetMode="External"/><Relationship Id="rId356" Type="http://schemas.openxmlformats.org/officeDocument/2006/relationships/hyperlink" Target="https://www.themoviedb.org/movie/131634" TargetMode="External"/><Relationship Id="rId598" Type="http://schemas.openxmlformats.org/officeDocument/2006/relationships/hyperlink" Target="https://www.themoviedb.org/movie/5548" TargetMode="External"/><Relationship Id="rId113" Type="http://schemas.openxmlformats.org/officeDocument/2006/relationships/hyperlink" Target="https://image.tmdb.org/t/p/w342/e33HSokiAxhj8ptpAr2xAU4jnd8.jpg" TargetMode="External"/><Relationship Id="rId355" Type="http://schemas.openxmlformats.org/officeDocument/2006/relationships/hyperlink" Target="https://image.tmdb.org/t/p/w342/lImKHDfExAulp16grYm8zD5eONE.jpg" TargetMode="External"/><Relationship Id="rId597" Type="http://schemas.openxmlformats.org/officeDocument/2006/relationships/hyperlink" Target="https://image.tmdb.org/t/p/w342/esmAU0fCO28FbS6bUBKLAzJrohZ.jpg" TargetMode="External"/><Relationship Id="rId112" Type="http://schemas.openxmlformats.org/officeDocument/2006/relationships/hyperlink" Target="https://www.themoviedb.org/movie/134597" TargetMode="External"/><Relationship Id="rId354" Type="http://schemas.openxmlformats.org/officeDocument/2006/relationships/hyperlink" Target="https://www.themoviedb.org/movie/131631" TargetMode="External"/><Relationship Id="rId596" Type="http://schemas.openxmlformats.org/officeDocument/2006/relationships/hyperlink" Target="https://www.themoviedb.org/movie/61791" TargetMode="External"/><Relationship Id="rId111" Type="http://schemas.openxmlformats.org/officeDocument/2006/relationships/hyperlink" Target="https://image.tmdb.org/t/p/w342/qbhJiXi48fRQevHf56i2JmYqyJ7.jpg" TargetMode="External"/><Relationship Id="rId353" Type="http://schemas.openxmlformats.org/officeDocument/2006/relationships/hyperlink" Target="https://image.tmdb.org/t/p/w342/4FAA18ZIja70d1Tu5hr5cj2q1sB.jpg" TargetMode="External"/><Relationship Id="rId595" Type="http://schemas.openxmlformats.org/officeDocument/2006/relationships/hyperlink" Target="https://image.tmdb.org/t/p/w342/oqA45qMyyo1TtrnVEBKxqmTPhbN.jpg" TargetMode="External"/><Relationship Id="rId305" Type="http://schemas.openxmlformats.org/officeDocument/2006/relationships/hyperlink" Target="https://image.tmdb.org/t/p/w342/hjlZSXM86wJrfCv5VKfR5DI2VeU.jpg" TargetMode="External"/><Relationship Id="rId547" Type="http://schemas.openxmlformats.org/officeDocument/2006/relationships/hyperlink" Target="https://image.tmdb.org/t/p/w342/a1gIACZb04bL8EvLqMpofW2Eqeo.jpg" TargetMode="External"/><Relationship Id="rId789" Type="http://schemas.openxmlformats.org/officeDocument/2006/relationships/hyperlink" Target="https://image.tmdb.org/t/p/w342/ow3IMhTVLryZuCEoQznVTTmFYuu.jpg" TargetMode="External"/><Relationship Id="rId304" Type="http://schemas.openxmlformats.org/officeDocument/2006/relationships/hyperlink" Target="https://www.themoviedb.org/movie/10692" TargetMode="External"/><Relationship Id="rId546" Type="http://schemas.openxmlformats.org/officeDocument/2006/relationships/hyperlink" Target="https://www.themoviedb.org/movie/949423" TargetMode="External"/><Relationship Id="rId788" Type="http://schemas.openxmlformats.org/officeDocument/2006/relationships/hyperlink" Target="https://www.themoviedb.org/movie/9902" TargetMode="External"/><Relationship Id="rId303" Type="http://schemas.openxmlformats.org/officeDocument/2006/relationships/hyperlink" Target="https://image.tmdb.org/t/p/w342/diVMzTarVLgjc3jyODyhZMadfwD.jpg" TargetMode="External"/><Relationship Id="rId545" Type="http://schemas.openxmlformats.org/officeDocument/2006/relationships/hyperlink" Target="https://image.tmdb.org/t/p/w342/z5uIG81pXyHKg7cUFIu84Wjn4NS.jpg" TargetMode="External"/><Relationship Id="rId787" Type="http://schemas.openxmlformats.org/officeDocument/2006/relationships/hyperlink" Target="https://image.tmdb.org/t/p/w342/12G5V0dTmljnv7RFMT144dJ2chh.jpg" TargetMode="External"/><Relationship Id="rId302" Type="http://schemas.openxmlformats.org/officeDocument/2006/relationships/hyperlink" Target="https://www.themoviedb.org/movie/359246" TargetMode="External"/><Relationship Id="rId544" Type="http://schemas.openxmlformats.org/officeDocument/2006/relationships/hyperlink" Target="https://www.themoviedb.org/movie/39513" TargetMode="External"/><Relationship Id="rId786" Type="http://schemas.openxmlformats.org/officeDocument/2006/relationships/hyperlink" Target="https://www.themoviedb.org/movie/106646" TargetMode="External"/><Relationship Id="rId309" Type="http://schemas.openxmlformats.org/officeDocument/2006/relationships/hyperlink" Target="https://image.tmdb.org/t/p/w342/vKeFa7CqSxmWsQDjHP6SJXKoDbj.jpg" TargetMode="External"/><Relationship Id="rId308" Type="http://schemas.openxmlformats.org/officeDocument/2006/relationships/hyperlink" Target="https://www.themoviedb.org/movie/1138194" TargetMode="External"/><Relationship Id="rId307" Type="http://schemas.openxmlformats.org/officeDocument/2006/relationships/hyperlink" Target="https://image.tmdb.org/t/p/w342/fr96XzlzsONrQrGfdLMiwtQjott.jpg" TargetMode="External"/><Relationship Id="rId549" Type="http://schemas.openxmlformats.org/officeDocument/2006/relationships/hyperlink" Target="https://image.tmdb.org/t/p/w342/6E50WjeOYjDZg9HXgPjYdGtY2jG.jpg" TargetMode="External"/><Relationship Id="rId306" Type="http://schemas.openxmlformats.org/officeDocument/2006/relationships/hyperlink" Target="https://www.themoviedb.org/movie/493922" TargetMode="External"/><Relationship Id="rId548" Type="http://schemas.openxmlformats.org/officeDocument/2006/relationships/hyperlink" Target="https://www.themoviedb.org/movie/8913" TargetMode="External"/><Relationship Id="rId781" Type="http://schemas.openxmlformats.org/officeDocument/2006/relationships/hyperlink" Target="https://image.tmdb.org/t/p/w342/xDGbZ0JJ3mYaGKy4Nzd9Kph6M9L.jpg" TargetMode="External"/><Relationship Id="rId780" Type="http://schemas.openxmlformats.org/officeDocument/2006/relationships/hyperlink" Target="https://www.themoviedb.org/movie/117251" TargetMode="External"/><Relationship Id="rId301" Type="http://schemas.openxmlformats.org/officeDocument/2006/relationships/hyperlink" Target="https://image.tmdb.org/t/p/w342/xUSCQEbbAy3Lv6r00RfXtdxhRDX.jpg" TargetMode="External"/><Relationship Id="rId543" Type="http://schemas.openxmlformats.org/officeDocument/2006/relationships/hyperlink" Target="https://image.tmdb.org/t/p/w342/dKhexH8nS08lVlSmwSs00cHFxbY.jpg" TargetMode="External"/><Relationship Id="rId785" Type="http://schemas.openxmlformats.org/officeDocument/2006/relationships/hyperlink" Target="https://image.tmdb.org/t/p/w342/kW9LmvYHAaS9iA0tHmZVq8hQYoq.jpg" TargetMode="External"/><Relationship Id="rId300" Type="http://schemas.openxmlformats.org/officeDocument/2006/relationships/hyperlink" Target="https://www.themoviedb.org/movie/1035982" TargetMode="External"/><Relationship Id="rId542" Type="http://schemas.openxmlformats.org/officeDocument/2006/relationships/hyperlink" Target="https://www.themoviedb.org/movie/496243" TargetMode="External"/><Relationship Id="rId784" Type="http://schemas.openxmlformats.org/officeDocument/2006/relationships/hyperlink" Target="https://www.themoviedb.org/movie/967941" TargetMode="External"/><Relationship Id="rId541" Type="http://schemas.openxmlformats.org/officeDocument/2006/relationships/hyperlink" Target="https://image.tmdb.org/t/p/w342/7IiTTgloJzvGI1TAYymCfbfl3vT.jpg" TargetMode="External"/><Relationship Id="rId783" Type="http://schemas.openxmlformats.org/officeDocument/2006/relationships/hyperlink" Target="https://image.tmdb.org/t/p/w342/si9tolnefLSUKaqQEGz1bWArOaL.jpg" TargetMode="External"/><Relationship Id="rId540" Type="http://schemas.openxmlformats.org/officeDocument/2006/relationships/hyperlink" Target="https://www.themoviedb.org/movie/227348" TargetMode="External"/><Relationship Id="rId782" Type="http://schemas.openxmlformats.org/officeDocument/2006/relationships/hyperlink" Target="https://www.themoviedb.org/movie/402431" TargetMode="External"/><Relationship Id="rId536" Type="http://schemas.openxmlformats.org/officeDocument/2006/relationships/hyperlink" Target="https://www.themoviedb.org/movie/82990" TargetMode="External"/><Relationship Id="rId778" Type="http://schemas.openxmlformats.org/officeDocument/2006/relationships/hyperlink" Target="https://www.themoviedb.org/movie/744857" TargetMode="External"/><Relationship Id="rId535" Type="http://schemas.openxmlformats.org/officeDocument/2006/relationships/hyperlink" Target="https://image.tmdb.org/t/p/w342/na5tAslm1kGNcft083AIXMTOsYR.jpg" TargetMode="External"/><Relationship Id="rId777" Type="http://schemas.openxmlformats.org/officeDocument/2006/relationships/hyperlink" Target="https://image.tmdb.org/t/p/w342/iQ7G9LhP7NRRIUM4Vlai3eOxBAc.jpg" TargetMode="External"/><Relationship Id="rId534" Type="http://schemas.openxmlformats.org/officeDocument/2006/relationships/hyperlink" Target="https://www.themoviedb.org/movie/72571" TargetMode="External"/><Relationship Id="rId776" Type="http://schemas.openxmlformats.org/officeDocument/2006/relationships/hyperlink" Target="https://www.themoviedb.org/movie/11596" TargetMode="External"/><Relationship Id="rId533" Type="http://schemas.openxmlformats.org/officeDocument/2006/relationships/hyperlink" Target="https://image.tmdb.org/t/p/w342/9nYranPiWdNmbD5PRPPSL7VUFTS.jpg" TargetMode="External"/><Relationship Id="rId775" Type="http://schemas.openxmlformats.org/officeDocument/2006/relationships/hyperlink" Target="https://image.tmdb.org/t/p/w342/q5BWxfL1x34nyYSvA3Qo5odleGW.jpg" TargetMode="External"/><Relationship Id="rId539" Type="http://schemas.openxmlformats.org/officeDocument/2006/relationships/hyperlink" Target="https://image.tmdb.org/t/p/w342/2o4vBAnORr9UnLMvWHhULGDHfzH.jpg" TargetMode="External"/><Relationship Id="rId538" Type="http://schemas.openxmlformats.org/officeDocument/2006/relationships/hyperlink" Target="https://www.themoviedb.org/movie/146301" TargetMode="External"/><Relationship Id="rId537" Type="http://schemas.openxmlformats.org/officeDocument/2006/relationships/hyperlink" Target="https://image.tmdb.org/t/p/w342/1YpFQ2MQKzlDoa8diLWkapdRI8t.jpg" TargetMode="External"/><Relationship Id="rId779" Type="http://schemas.openxmlformats.org/officeDocument/2006/relationships/hyperlink" Target="https://image.tmdb.org/t/p/w342/6TeIVKPw7nXXWy2zKmDmlnSwzb7.jpg" TargetMode="External"/><Relationship Id="rId770" Type="http://schemas.openxmlformats.org/officeDocument/2006/relationships/hyperlink" Target="https://www.themoviedb.org/movie/71859" TargetMode="External"/><Relationship Id="rId532" Type="http://schemas.openxmlformats.org/officeDocument/2006/relationships/hyperlink" Target="https://www.themoviedb.org/movie/41436" TargetMode="External"/><Relationship Id="rId774" Type="http://schemas.openxmlformats.org/officeDocument/2006/relationships/hyperlink" Target="https://www.themoviedb.org/movie/1078605" TargetMode="External"/><Relationship Id="rId531" Type="http://schemas.openxmlformats.org/officeDocument/2006/relationships/hyperlink" Target="https://image.tmdb.org/t/p/w342/gfdrkBZAyUUXJJ2iLQe03SAYRD3.jpg" TargetMode="External"/><Relationship Id="rId773" Type="http://schemas.openxmlformats.org/officeDocument/2006/relationships/hyperlink" Target="https://image.tmdb.org/t/p/w342/cpf7vsRZ0MYRQcnLWteD5jK9ymT.jpg" TargetMode="External"/><Relationship Id="rId530" Type="http://schemas.openxmlformats.org/officeDocument/2006/relationships/hyperlink" Target="https://www.themoviedb.org/movie/23827" TargetMode="External"/><Relationship Id="rId772" Type="http://schemas.openxmlformats.org/officeDocument/2006/relationships/hyperlink" Target="https://www.themoviedb.org/movie/138832" TargetMode="External"/><Relationship Id="rId771" Type="http://schemas.openxmlformats.org/officeDocument/2006/relationships/hyperlink" Target="https://image.tmdb.org/t/p/w342/qF2LJ0jwWrtXSuT4AFD5OS2IqaT.jpg" TargetMode="External"/><Relationship Id="rId327" Type="http://schemas.openxmlformats.org/officeDocument/2006/relationships/hyperlink" Target="https://image.tmdb.org/t/p/w342/qB20aiY8Ah3pQikkBxm3j7jQVc8.jpg" TargetMode="External"/><Relationship Id="rId569" Type="http://schemas.openxmlformats.org/officeDocument/2006/relationships/hyperlink" Target="https://image.tmdb.org/t/p/w342/6stnAm1wSek8ZrislwK4xGTyCnt.jpg" TargetMode="External"/><Relationship Id="rId326" Type="http://schemas.openxmlformats.org/officeDocument/2006/relationships/hyperlink" Target="https://www.themoviedb.org/movie/1690" TargetMode="External"/><Relationship Id="rId568" Type="http://schemas.openxmlformats.org/officeDocument/2006/relationships/hyperlink" Target="https://www.themoviedb.org/movie/14337" TargetMode="External"/><Relationship Id="rId325" Type="http://schemas.openxmlformats.org/officeDocument/2006/relationships/hyperlink" Target="https://image.tmdb.org/t/p/w342/dDrtuWUKhgUGp12kgUWuP0NpTdF.jpg" TargetMode="External"/><Relationship Id="rId567" Type="http://schemas.openxmlformats.org/officeDocument/2006/relationships/hyperlink" Target="https://image.tmdb.org/t/p/w342/xEoq2WmDzpzxhkHEsmOYOg6BPg6.jpg" TargetMode="External"/><Relationship Id="rId324" Type="http://schemas.openxmlformats.org/officeDocument/2006/relationships/hyperlink" Target="https://www.themoviedb.org/movie/51540" TargetMode="External"/><Relationship Id="rId566" Type="http://schemas.openxmlformats.org/officeDocument/2006/relationships/hyperlink" Target="https://www.themoviedb.org/movie/38410" TargetMode="External"/><Relationship Id="rId329" Type="http://schemas.openxmlformats.org/officeDocument/2006/relationships/hyperlink" Target="https://image.tmdb.org/t/p/w342/wjzbVXAes1acbh6k4OO5xVfy5.jpg" TargetMode="External"/><Relationship Id="rId328" Type="http://schemas.openxmlformats.org/officeDocument/2006/relationships/hyperlink" Target="https://www.themoviedb.org/movie/1691" TargetMode="External"/><Relationship Id="rId561" Type="http://schemas.openxmlformats.org/officeDocument/2006/relationships/hyperlink" Target="https://image.tmdb.org/t/p/w342/6u65C8aG4krAVyHsTjAMF7ucTDH.jpg" TargetMode="External"/><Relationship Id="rId560" Type="http://schemas.openxmlformats.org/officeDocument/2006/relationships/hyperlink" Target="https://www.themoviedb.org/movie/10228" TargetMode="External"/><Relationship Id="rId323" Type="http://schemas.openxmlformats.org/officeDocument/2006/relationships/hyperlink" Target="https://image.tmdb.org/t/p/w342/uQkUwgyFHAm0jGQERPG6Z9o9Zbj.jpg" TargetMode="External"/><Relationship Id="rId565" Type="http://schemas.openxmlformats.org/officeDocument/2006/relationships/hyperlink" Target="https://image.tmdb.org/t/p/w342/8ppkhu3pO3fnXr05YeE7ryKloVd.jpg" TargetMode="External"/><Relationship Id="rId322" Type="http://schemas.openxmlformats.org/officeDocument/2006/relationships/hyperlink" Target="https://www.themoviedb.org/movie/57158" TargetMode="External"/><Relationship Id="rId564" Type="http://schemas.openxmlformats.org/officeDocument/2006/relationships/hyperlink" Target="https://www.themoviedb.org/movie/609" TargetMode="External"/><Relationship Id="rId321" Type="http://schemas.openxmlformats.org/officeDocument/2006/relationships/hyperlink" Target="https://image.tmdb.org/t/p/w342/xQYiXsheRCDBA39DOrmaw1aSpbk.jpg" TargetMode="External"/><Relationship Id="rId563" Type="http://schemas.openxmlformats.org/officeDocument/2006/relationships/hyperlink" Target="https://image.tmdb.org/t/p/w342/m5AKo8iZAYulI87Uzxkn87vRY07.jpg" TargetMode="External"/><Relationship Id="rId320" Type="http://schemas.openxmlformats.org/officeDocument/2006/relationships/hyperlink" Target="https://www.themoviedb.org/movie/122917" TargetMode="External"/><Relationship Id="rId562" Type="http://schemas.openxmlformats.org/officeDocument/2006/relationships/hyperlink" Target="https://www.themoviedb.org/movie/12599" TargetMode="External"/><Relationship Id="rId316" Type="http://schemas.openxmlformats.org/officeDocument/2006/relationships/hyperlink" Target="https://www.themoviedb.org/movie/24001" TargetMode="External"/><Relationship Id="rId558" Type="http://schemas.openxmlformats.org/officeDocument/2006/relationships/hyperlink" Target="https://www.themoviedb.org/movie/10991" TargetMode="External"/><Relationship Id="rId315" Type="http://schemas.openxmlformats.org/officeDocument/2006/relationships/hyperlink" Target="https://image.tmdb.org/t/p/w342/odPuG8mbDF12uMAQ5K4LuebtyUo.jpg" TargetMode="External"/><Relationship Id="rId557" Type="http://schemas.openxmlformats.org/officeDocument/2006/relationships/hyperlink" Target="https://image.tmdb.org/t/p/w342/hrBWiMWnD7mheMx846ycUWA3ohs.jpg" TargetMode="External"/><Relationship Id="rId799" Type="http://schemas.openxmlformats.org/officeDocument/2006/relationships/hyperlink" Target="https://image.tmdb.org/t/p/w342/8Vk2nQF1kY34x53YnWd5zDaTht.jpg" TargetMode="External"/><Relationship Id="rId314" Type="http://schemas.openxmlformats.org/officeDocument/2006/relationships/hyperlink" Target="https://www.themoviedb.org/movie/9793" TargetMode="External"/><Relationship Id="rId556" Type="http://schemas.openxmlformats.org/officeDocument/2006/relationships/hyperlink" Target="https://www.themoviedb.org/movie/1992" TargetMode="External"/><Relationship Id="rId798" Type="http://schemas.openxmlformats.org/officeDocument/2006/relationships/hyperlink" Target="https://www.themoviedb.org/movie/760104" TargetMode="External"/><Relationship Id="rId313" Type="http://schemas.openxmlformats.org/officeDocument/2006/relationships/hyperlink" Target="https://image.tmdb.org/t/p/w342/3SX2UGSmAjIZsVACpshPpKtjbDr.jpg" TargetMode="External"/><Relationship Id="rId555" Type="http://schemas.openxmlformats.org/officeDocument/2006/relationships/hyperlink" Target="https://image.tmdb.org/t/p/w342/3705GxG0RN9XDV5y9IiXKYHw1fK.jpg" TargetMode="External"/><Relationship Id="rId797" Type="http://schemas.openxmlformats.org/officeDocument/2006/relationships/hyperlink" Target="https://image.tmdb.org/t/p/w342/lopZSVtXzhFY603E9OqF7O1YKsh.jpg" TargetMode="External"/><Relationship Id="rId319" Type="http://schemas.openxmlformats.org/officeDocument/2006/relationships/hyperlink" Target="https://image.tmdb.org/t/p/w342/xT98tLqatZPQApyRmlPL12LtiWp.jpg" TargetMode="External"/><Relationship Id="rId318" Type="http://schemas.openxmlformats.org/officeDocument/2006/relationships/hyperlink" Target="https://www.themoviedb.org/movie/49051" TargetMode="External"/><Relationship Id="rId317" Type="http://schemas.openxmlformats.org/officeDocument/2006/relationships/hyperlink" Target="https://image.tmdb.org/t/p/w342/yHA9Fc37VmpUA5UncTxxo3rTGVA.jpg" TargetMode="External"/><Relationship Id="rId559" Type="http://schemas.openxmlformats.org/officeDocument/2006/relationships/hyperlink" Target="https://image.tmdb.org/t/p/w342/6YPzBcMH0aPNTvdXNCDLY0zdE1g.jpg" TargetMode="External"/><Relationship Id="rId550" Type="http://schemas.openxmlformats.org/officeDocument/2006/relationships/hyperlink" Target="https://www.themoviedb.org/movie/10189" TargetMode="External"/><Relationship Id="rId792" Type="http://schemas.openxmlformats.org/officeDocument/2006/relationships/hyperlink" Target="https://www.themoviedb.org/movie/23823" TargetMode="External"/><Relationship Id="rId791" Type="http://schemas.openxmlformats.org/officeDocument/2006/relationships/hyperlink" Target="https://image.tmdb.org/t/p/w342/84s4LMWuGbm4xPWW5PSbHyQhh33.jpg" TargetMode="External"/><Relationship Id="rId790" Type="http://schemas.openxmlformats.org/officeDocument/2006/relationships/hyperlink" Target="https://www.themoviedb.org/movie/13186" TargetMode="External"/><Relationship Id="rId312" Type="http://schemas.openxmlformats.org/officeDocument/2006/relationships/hyperlink" Target="https://www.themoviedb.org/movie/9792" TargetMode="External"/><Relationship Id="rId554" Type="http://schemas.openxmlformats.org/officeDocument/2006/relationships/hyperlink" Target="https://www.themoviedb.org/movie/254470" TargetMode="External"/><Relationship Id="rId796" Type="http://schemas.openxmlformats.org/officeDocument/2006/relationships/hyperlink" Target="https://www.themoviedb.org/movie/125509" TargetMode="External"/><Relationship Id="rId311" Type="http://schemas.openxmlformats.org/officeDocument/2006/relationships/hyperlink" Target="https://image.tmdb.org/t/p/w342/2eJL1Ccr1FN3dm9OSDwyd8uaX1b.jpg" TargetMode="External"/><Relationship Id="rId553" Type="http://schemas.openxmlformats.org/officeDocument/2006/relationships/hyperlink" Target="https://image.tmdb.org/t/p/w342/oFBQUufCV4c8WZoNhtGM17p884H.jpg" TargetMode="External"/><Relationship Id="rId795" Type="http://schemas.openxmlformats.org/officeDocument/2006/relationships/hyperlink" Target="https://image.tmdb.org/t/p/w342/8fABep8FSRpeo8Ea4j3rfnoVgkg.jpg" TargetMode="External"/><Relationship Id="rId310" Type="http://schemas.openxmlformats.org/officeDocument/2006/relationships/hyperlink" Target="https://www.themoviedb.org/movie/10226" TargetMode="External"/><Relationship Id="rId552" Type="http://schemas.openxmlformats.org/officeDocument/2006/relationships/hyperlink" Target="https://www.themoviedb.org/movie/114150" TargetMode="External"/><Relationship Id="rId794" Type="http://schemas.openxmlformats.org/officeDocument/2006/relationships/hyperlink" Target="https://www.themoviedb.org/movie/71672" TargetMode="External"/><Relationship Id="rId551" Type="http://schemas.openxmlformats.org/officeDocument/2006/relationships/hyperlink" Target="https://image.tmdb.org/t/p/w342/gsFoJk9g8W3zgaipRrrURk7LbiF.jpg" TargetMode="External"/><Relationship Id="rId793" Type="http://schemas.openxmlformats.org/officeDocument/2006/relationships/hyperlink" Target="https://image.tmdb.org/t/p/w342/l1vD4GY7tlT420KJ3xWTzyQ2Aa9.jpg" TargetMode="External"/><Relationship Id="rId297" Type="http://schemas.openxmlformats.org/officeDocument/2006/relationships/hyperlink" Target="https://image.tmdb.org/t/p/w342/gchygJq6AnzGFg0uYRDKn7mqsyU.jpg" TargetMode="External"/><Relationship Id="rId296" Type="http://schemas.openxmlformats.org/officeDocument/2006/relationships/hyperlink" Target="https://www.themoviedb.org/movie/532973" TargetMode="External"/><Relationship Id="rId295" Type="http://schemas.openxmlformats.org/officeDocument/2006/relationships/hyperlink" Target="https://image.tmdb.org/t/p/w342/sFPkQLUq8wmNOL2XMow4WF5tOpu.jpg" TargetMode="External"/><Relationship Id="rId294" Type="http://schemas.openxmlformats.org/officeDocument/2006/relationships/hyperlink" Target="https://www.themoviedb.org/movie/429476" TargetMode="External"/><Relationship Id="rId299" Type="http://schemas.openxmlformats.org/officeDocument/2006/relationships/hyperlink" Target="https://image.tmdb.org/t/p/w342/bsd1ovBNOhYpQElhlZAqpMo51q6.jpg" TargetMode="External"/><Relationship Id="rId298" Type="http://schemas.openxmlformats.org/officeDocument/2006/relationships/hyperlink" Target="https://www.themoviedb.org/movie/614722" TargetMode="External"/><Relationship Id="rId271" Type="http://schemas.openxmlformats.org/officeDocument/2006/relationships/hyperlink" Target="https://image.tmdb.org/t/p/w342/3nX5HHGgOKaVMxXwMLT9DHO1Ne6.jpg" TargetMode="External"/><Relationship Id="rId270" Type="http://schemas.openxmlformats.org/officeDocument/2006/relationships/hyperlink" Target="https://www.themoviedb.org/movie/24150" TargetMode="External"/><Relationship Id="rId269" Type="http://schemas.openxmlformats.org/officeDocument/2006/relationships/hyperlink" Target="https://image.tmdb.org/t/p/w342/vSHPM4LQDpWdQrD5KZWK6wNqSOD.jpg" TargetMode="External"/><Relationship Id="rId264" Type="http://schemas.openxmlformats.org/officeDocument/2006/relationships/hyperlink" Target="https://www.themoviedb.org/movie/948" TargetMode="External"/><Relationship Id="rId263" Type="http://schemas.openxmlformats.org/officeDocument/2006/relationships/hyperlink" Target="https://image.tmdb.org/t/p/w342/wijlZ3HaYMvlDTPqJoTCWKFkCPU.jpg" TargetMode="External"/><Relationship Id="rId262" Type="http://schemas.openxmlformats.org/officeDocument/2006/relationships/hyperlink" Target="https://www.themoviedb.org/movie/324786" TargetMode="External"/><Relationship Id="rId261" Type="http://schemas.openxmlformats.org/officeDocument/2006/relationships/hyperlink" Target="https://image.tmdb.org/t/p/w342/fnOMP6mjmOmZwmlC1n0K7ivrzt1.jpg" TargetMode="External"/><Relationship Id="rId268" Type="http://schemas.openxmlformats.org/officeDocument/2006/relationships/hyperlink" Target="https://www.themoviedb.org/movie/616820" TargetMode="External"/><Relationship Id="rId267" Type="http://schemas.openxmlformats.org/officeDocument/2006/relationships/hyperlink" Target="https://image.tmdb.org/t/p/w342/q06saepaXeBdkMibuN4R2fXmgIw.jpg" TargetMode="External"/><Relationship Id="rId266" Type="http://schemas.openxmlformats.org/officeDocument/2006/relationships/hyperlink" Target="https://www.themoviedb.org/movie/2082" TargetMode="External"/><Relationship Id="rId265" Type="http://schemas.openxmlformats.org/officeDocument/2006/relationships/hyperlink" Target="https://image.tmdb.org/t/p/w342/cD8JrfSEI4j7WVnKM1GdiYzMoUh.jpg" TargetMode="External"/><Relationship Id="rId260" Type="http://schemas.openxmlformats.org/officeDocument/2006/relationships/hyperlink" Target="https://www.themoviedb.org/movie/118340" TargetMode="External"/><Relationship Id="rId259" Type="http://schemas.openxmlformats.org/officeDocument/2006/relationships/hyperlink" Target="https://image.tmdb.org/t/p/w342/r7vmZjiyZw9rpJMQJdXpjgiCOk9.jpg" TargetMode="External"/><Relationship Id="rId258" Type="http://schemas.openxmlformats.org/officeDocument/2006/relationships/hyperlink" Target="https://www.themoviedb.org/movie/1977" TargetMode="External"/><Relationship Id="rId253" Type="http://schemas.openxmlformats.org/officeDocument/2006/relationships/hyperlink" Target="https://image.tmdb.org/t/p/w342/7vPAVPKYexQVmvC578wPLn2CGCL.jpg" TargetMode="External"/><Relationship Id="rId495" Type="http://schemas.openxmlformats.org/officeDocument/2006/relationships/hyperlink" Target="https://image.tmdb.org/t/p/w342/53kxYw0G3o55yJ23K7s7KMaOyAM.jpg" TargetMode="External"/><Relationship Id="rId252" Type="http://schemas.openxmlformats.org/officeDocument/2006/relationships/hyperlink" Target="https://www.themoviedb.org/movie/465086" TargetMode="External"/><Relationship Id="rId494" Type="http://schemas.openxmlformats.org/officeDocument/2006/relationships/hyperlink" Target="https://www.themoviedb.org/movie/377" TargetMode="External"/><Relationship Id="rId251" Type="http://schemas.openxmlformats.org/officeDocument/2006/relationships/hyperlink" Target="https://image.tmdb.org/t/p/w342/vN7JHlHOT9rHNDU27tfYqhABBj5.jpg" TargetMode="External"/><Relationship Id="rId493" Type="http://schemas.openxmlformats.org/officeDocument/2006/relationships/hyperlink" Target="https://image.tmdb.org/t/p/w342/wGTpGGRMZmyFCcrY2YoxVTIBlli.jpg" TargetMode="External"/><Relationship Id="rId250" Type="http://schemas.openxmlformats.org/officeDocument/2006/relationships/hyperlink" Target="https://www.themoviedb.org/movie/928" TargetMode="External"/><Relationship Id="rId492" Type="http://schemas.openxmlformats.org/officeDocument/2006/relationships/hyperlink" Target="https://www.themoviedb.org/movie/242582" TargetMode="External"/><Relationship Id="rId257" Type="http://schemas.openxmlformats.org/officeDocument/2006/relationships/hyperlink" Target="https://image.tmdb.org/t/p/w342/uEOWWRr8BbgPM0BiJiSTwHGaRx4.jpg" TargetMode="External"/><Relationship Id="rId499" Type="http://schemas.openxmlformats.org/officeDocument/2006/relationships/hyperlink" Target="https://image.tmdb.org/t/p/w342/boStYG7jKdoIZTduiOOsUVknD13.jpg" TargetMode="External"/><Relationship Id="rId256" Type="http://schemas.openxmlformats.org/officeDocument/2006/relationships/hyperlink" Target="https://www.themoviedb.org/movie/1975" TargetMode="External"/><Relationship Id="rId498" Type="http://schemas.openxmlformats.org/officeDocument/2006/relationships/hyperlink" Target="https://www.themoviedb.org/movie/10072" TargetMode="External"/><Relationship Id="rId255" Type="http://schemas.openxmlformats.org/officeDocument/2006/relationships/hyperlink" Target="https://image.tmdb.org/t/p/w342/oHLeYXqA8P0jVIY2C8kQFyQTzkr.jpg" TargetMode="External"/><Relationship Id="rId497" Type="http://schemas.openxmlformats.org/officeDocument/2006/relationships/hyperlink" Target="https://image.tmdb.org/t/p/w342/qbtZewU6EGvxi8yFVzwZ31NijLX.jpg" TargetMode="External"/><Relationship Id="rId254" Type="http://schemas.openxmlformats.org/officeDocument/2006/relationships/hyperlink" Target="https://www.themoviedb.org/movie/1970" TargetMode="External"/><Relationship Id="rId496" Type="http://schemas.openxmlformats.org/officeDocument/2006/relationships/hyperlink" Target="https://www.themoviedb.org/movie/10014" TargetMode="External"/><Relationship Id="rId293" Type="http://schemas.openxmlformats.org/officeDocument/2006/relationships/hyperlink" Target="https://image.tmdb.org/t/p/w342/qgLlnlrUtTKXkdrgMBwUfkyAkya.jpg" TargetMode="External"/><Relationship Id="rId292" Type="http://schemas.openxmlformats.org/officeDocument/2006/relationships/hyperlink" Target="https://www.themoviedb.org/movie/11282" TargetMode="External"/><Relationship Id="rId291" Type="http://schemas.openxmlformats.org/officeDocument/2006/relationships/hyperlink" Target="https://image.tmdb.org/t/p/w342/5vO7R4xYlDipTp8gzfRbWegO8eb.jpg" TargetMode="External"/><Relationship Id="rId290" Type="http://schemas.openxmlformats.org/officeDocument/2006/relationships/hyperlink" Target="https://www.themoviedb.org/movie/13335" TargetMode="External"/><Relationship Id="rId286" Type="http://schemas.openxmlformats.org/officeDocument/2006/relationships/hyperlink" Target="https://www.themoviedb.org/movie/10683" TargetMode="External"/><Relationship Id="rId285" Type="http://schemas.openxmlformats.org/officeDocument/2006/relationships/hyperlink" Target="https://image.tmdb.org/t/p/w342/rYfUcEV88Z3gENrfYTE6i8yBkDr.jpg" TargetMode="External"/><Relationship Id="rId284" Type="http://schemas.openxmlformats.org/officeDocument/2006/relationships/hyperlink" Target="https://www.themoviedb.org/movie/109439" TargetMode="External"/><Relationship Id="rId283" Type="http://schemas.openxmlformats.org/officeDocument/2006/relationships/hyperlink" Target="https://image.tmdb.org/t/p/w342/vtxuPWkdllLNLVyGjKYa267ntuH.jpg" TargetMode="External"/><Relationship Id="rId289" Type="http://schemas.openxmlformats.org/officeDocument/2006/relationships/hyperlink" Target="https://image.tmdb.org/t/p/w342/gmXKlm8c8O7JEISYP4WiWq2x3We.jpg" TargetMode="External"/><Relationship Id="rId288" Type="http://schemas.openxmlformats.org/officeDocument/2006/relationships/hyperlink" Target="https://www.themoviedb.org/movie/9614" TargetMode="External"/><Relationship Id="rId287" Type="http://schemas.openxmlformats.org/officeDocument/2006/relationships/hyperlink" Target="https://image.tmdb.org/t/p/w342/4RnCeRzvI1xk5tuNWjpDKzSnJDk.jpg" TargetMode="External"/><Relationship Id="rId282" Type="http://schemas.openxmlformats.org/officeDocument/2006/relationships/hyperlink" Target="https://www.themoviedb.org/movie/45243" TargetMode="External"/><Relationship Id="rId281" Type="http://schemas.openxmlformats.org/officeDocument/2006/relationships/hyperlink" Target="https://image.tmdb.org/t/p/w342/cKZu0Fdkj7dmwbfMpgDqVVCkLJQ.jpg" TargetMode="External"/><Relationship Id="rId280" Type="http://schemas.openxmlformats.org/officeDocument/2006/relationships/hyperlink" Target="https://www.themoviedb.org/movie/18785" TargetMode="External"/><Relationship Id="rId275" Type="http://schemas.openxmlformats.org/officeDocument/2006/relationships/hyperlink" Target="https://image.tmdb.org/t/p/w342/ir9eyz1mtgsohjvo7UYtqUfFuES.jpg" TargetMode="External"/><Relationship Id="rId274" Type="http://schemas.openxmlformats.org/officeDocument/2006/relationships/hyperlink" Target="https://www.themoviedb.org/movie/10676" TargetMode="External"/><Relationship Id="rId273" Type="http://schemas.openxmlformats.org/officeDocument/2006/relationships/hyperlink" Target="https://image.tmdb.org/t/p/w342/WABfdeaThFYXCySGIOvRNv2sSW.jpg" TargetMode="External"/><Relationship Id="rId272" Type="http://schemas.openxmlformats.org/officeDocument/2006/relationships/hyperlink" Target="https://www.themoviedb.org/movie/11281" TargetMode="External"/><Relationship Id="rId279" Type="http://schemas.openxmlformats.org/officeDocument/2006/relationships/hyperlink" Target="https://image.tmdb.org/t/p/w342/A0uS9rHR56FeBtpjVki16M5xxSW.jpg" TargetMode="External"/><Relationship Id="rId278" Type="http://schemas.openxmlformats.org/officeDocument/2006/relationships/hyperlink" Target="https://www.themoviedb.org/movie/8960" TargetMode="External"/><Relationship Id="rId277" Type="http://schemas.openxmlformats.org/officeDocument/2006/relationships/hyperlink" Target="https://image.tmdb.org/t/p/w342/7DyuV2G0hLEqHeueDfOqhZ2DVut.jpg" TargetMode="External"/><Relationship Id="rId276" Type="http://schemas.openxmlformats.org/officeDocument/2006/relationships/hyperlink" Target="https://www.themoviedb.org/movie/610253" TargetMode="External"/><Relationship Id="rId629" Type="http://schemas.openxmlformats.org/officeDocument/2006/relationships/hyperlink" Target="https://image.tmdb.org/t/p/w342/vd9K93gQ9whMKjXzADZanxWpIXM.jpg" TargetMode="External"/><Relationship Id="rId624" Type="http://schemas.openxmlformats.org/officeDocument/2006/relationships/hyperlink" Target="https://www.themoviedb.org/movie/4233" TargetMode="External"/><Relationship Id="rId623" Type="http://schemas.openxmlformats.org/officeDocument/2006/relationships/hyperlink" Target="https://image.tmdb.org/t/p/w342/dORlVasiaDkJXTqt9bdH7nFNs6C.jpg" TargetMode="External"/><Relationship Id="rId622" Type="http://schemas.openxmlformats.org/officeDocument/2006/relationships/hyperlink" Target="https://www.themoviedb.org/movie/4232" TargetMode="External"/><Relationship Id="rId621" Type="http://schemas.openxmlformats.org/officeDocument/2006/relationships/hyperlink" Target="https://image.tmdb.org/t/p/w342/lr9ZIrmuwVmZhpZuTCW8D9g0ZJe.jpg" TargetMode="External"/><Relationship Id="rId628" Type="http://schemas.openxmlformats.org/officeDocument/2006/relationships/hyperlink" Target="https://www.themoviedb.org/movie/41446" TargetMode="External"/><Relationship Id="rId627" Type="http://schemas.openxmlformats.org/officeDocument/2006/relationships/hyperlink" Target="https://image.tmdb.org/t/p/w342/g0YcSd5QpgGXOjg9tl0if0soOkE.jpg" TargetMode="External"/><Relationship Id="rId626" Type="http://schemas.openxmlformats.org/officeDocument/2006/relationships/hyperlink" Target="https://www.themoviedb.org/movie/4234" TargetMode="External"/><Relationship Id="rId625" Type="http://schemas.openxmlformats.org/officeDocument/2006/relationships/hyperlink" Target="https://image.tmdb.org/t/p/w342/qpH8ToZVlFD1bakL04LkEKodyDI.jpg" TargetMode="External"/><Relationship Id="rId620" Type="http://schemas.openxmlformats.org/officeDocument/2006/relationships/hyperlink" Target="https://www.themoviedb.org/movie/4256" TargetMode="External"/><Relationship Id="rId619" Type="http://schemas.openxmlformats.org/officeDocument/2006/relationships/hyperlink" Target="https://image.tmdb.org/t/p/w342/lpNG1nx67rvYze1b1R9q0YoSzrC.jpg" TargetMode="External"/><Relationship Id="rId618" Type="http://schemas.openxmlformats.org/officeDocument/2006/relationships/hyperlink" Target="https://www.themoviedb.org/movie/4248" TargetMode="External"/><Relationship Id="rId613" Type="http://schemas.openxmlformats.org/officeDocument/2006/relationships/hyperlink" Target="https://image.tmdb.org/t/p/w342/qHCZ6LjtmqWDfXXN28TlIC9OppK.jpg" TargetMode="External"/><Relationship Id="rId612" Type="http://schemas.openxmlformats.org/officeDocument/2006/relationships/hyperlink" Target="https://www.themoviedb.org/movie/22804" TargetMode="External"/><Relationship Id="rId611" Type="http://schemas.openxmlformats.org/officeDocument/2006/relationships/hyperlink" Target="https://image.tmdb.org/t/p/w342/9JtluosCbioSXJSABZByaODyPpa.jpg" TargetMode="External"/><Relationship Id="rId610" Type="http://schemas.openxmlformats.org/officeDocument/2006/relationships/hyperlink" Target="https://www.themoviedb.org/movie/11917" TargetMode="External"/><Relationship Id="rId617" Type="http://schemas.openxmlformats.org/officeDocument/2006/relationships/hyperlink" Target="https://image.tmdb.org/t/p/w342/7Eb1JWK0Cb0rbfsYjwfc9g0PbQH.jpg" TargetMode="External"/><Relationship Id="rId616" Type="http://schemas.openxmlformats.org/officeDocument/2006/relationships/hyperlink" Target="https://www.themoviedb.org/movie/4247" TargetMode="External"/><Relationship Id="rId615" Type="http://schemas.openxmlformats.org/officeDocument/2006/relationships/hyperlink" Target="https://image.tmdb.org/t/p/w342/fVQFPRuw3yWXojYDJvA5EoFjUOY.jpg" TargetMode="External"/><Relationship Id="rId614" Type="http://schemas.openxmlformats.org/officeDocument/2006/relationships/hyperlink" Target="https://www.themoviedb.org/movie/41439" TargetMode="External"/><Relationship Id="rId409" Type="http://schemas.openxmlformats.org/officeDocument/2006/relationships/hyperlink" Target="https://image.tmdb.org/t/p/w342/x2Us3jR6ToMJjbcPbLimYoxf6xr.jpg" TargetMode="External"/><Relationship Id="rId404" Type="http://schemas.openxmlformats.org/officeDocument/2006/relationships/hyperlink" Target="https://www.themoviedb.org/movie/331" TargetMode="External"/><Relationship Id="rId646" Type="http://schemas.openxmlformats.org/officeDocument/2006/relationships/hyperlink" Target="https://www.themoviedb.org/movie/274" TargetMode="External"/><Relationship Id="rId403" Type="http://schemas.openxmlformats.org/officeDocument/2006/relationships/hyperlink" Target="https://image.tmdb.org/t/p/w342/oQXj4NUfS3r3gHXtDOzcJgj1lLc.jpg" TargetMode="External"/><Relationship Id="rId645" Type="http://schemas.openxmlformats.org/officeDocument/2006/relationships/hyperlink" Target="https://image.tmdb.org/t/p/w342/uS9m8OBk1A8eM9I042bx8XXpqAq.jpg" TargetMode="External"/><Relationship Id="rId402" Type="http://schemas.openxmlformats.org/officeDocument/2006/relationships/hyperlink" Target="https://www.themoviedb.org/movie/329" TargetMode="External"/><Relationship Id="rId644" Type="http://schemas.openxmlformats.org/officeDocument/2006/relationships/hyperlink" Target="https://www.themoviedb.org/movie/11324" TargetMode="External"/><Relationship Id="rId401" Type="http://schemas.openxmlformats.org/officeDocument/2006/relationships/hyperlink" Target="https://image.tmdb.org/t/p/w342/maFjKnJ62hDQ9E66dKqDZgbUy0H.jpg" TargetMode="External"/><Relationship Id="rId643" Type="http://schemas.openxmlformats.org/officeDocument/2006/relationships/hyperlink" Target="https://image.tmdb.org/t/p/w342/nrmXQ0zcZUL8jFLrakWc90IR8z9.jpg" TargetMode="External"/><Relationship Id="rId408" Type="http://schemas.openxmlformats.org/officeDocument/2006/relationships/hyperlink" Target="https://www.themoviedb.org/movie/507086" TargetMode="External"/><Relationship Id="rId407" Type="http://schemas.openxmlformats.org/officeDocument/2006/relationships/hyperlink" Target="https://image.tmdb.org/t/p/w342/jbAvCACjLf1ZG0unB2tdmx5HAf1.jpg" TargetMode="External"/><Relationship Id="rId649" Type="http://schemas.openxmlformats.org/officeDocument/2006/relationships/hyperlink" Target="https://image.tmdb.org/t/p/w342/nzx10sca3arCeYBAomHan4Q6wa1.jpg" TargetMode="External"/><Relationship Id="rId406" Type="http://schemas.openxmlformats.org/officeDocument/2006/relationships/hyperlink" Target="https://www.themoviedb.org/movie/135397" TargetMode="External"/><Relationship Id="rId648" Type="http://schemas.openxmlformats.org/officeDocument/2006/relationships/hyperlink" Target="https://www.themoviedb.org/movie/35" TargetMode="External"/><Relationship Id="rId405" Type="http://schemas.openxmlformats.org/officeDocument/2006/relationships/hyperlink" Target="https://image.tmdb.org/t/p/w342/rhr4y79GpxQF9IsfJItRXVaoGs4.jpg" TargetMode="External"/><Relationship Id="rId647" Type="http://schemas.openxmlformats.org/officeDocument/2006/relationships/hyperlink" Target="https://image.tmdb.org/t/p/w342/s3b8TZWwmkYc2KoJ5zk77qB6PzY.jpg" TargetMode="External"/><Relationship Id="rId400" Type="http://schemas.openxmlformats.org/officeDocument/2006/relationships/hyperlink" Target="https://www.themoviedb.org/movie/11838" TargetMode="External"/><Relationship Id="rId642" Type="http://schemas.openxmlformats.org/officeDocument/2006/relationships/hyperlink" Target="https://www.themoviedb.org/movie/14456" TargetMode="External"/><Relationship Id="rId641" Type="http://schemas.openxmlformats.org/officeDocument/2006/relationships/hyperlink" Target="https://image.tmdb.org/t/p/w342/pU4lcKfjf0U8pM036FHyoVGLev7.jpg" TargetMode="External"/><Relationship Id="rId640" Type="http://schemas.openxmlformats.org/officeDocument/2006/relationships/hyperlink" Target="https://www.themoviedb.org/movie/694" TargetMode="External"/><Relationship Id="rId635" Type="http://schemas.openxmlformats.org/officeDocument/2006/relationships/hyperlink" Target="https://image.tmdb.org/t/p/w342/e5ToxOyJwuZD4VOfI0qEn5uIjeJ.jpg" TargetMode="External"/><Relationship Id="rId634" Type="http://schemas.openxmlformats.org/officeDocument/2006/relationships/hyperlink" Target="https://www.themoviedb.org/movie/10972" TargetMode="External"/><Relationship Id="rId633" Type="http://schemas.openxmlformats.org/officeDocument/2006/relationships/hyperlink" Target="https://image.tmdb.org/t/p/w342/A3Au37c3KJX29BDvldzGiYtaU5B.jpg" TargetMode="External"/><Relationship Id="rId632" Type="http://schemas.openxmlformats.org/officeDocument/2006/relationships/hyperlink" Target="https://www.themoviedb.org/movie/13260" TargetMode="External"/><Relationship Id="rId639" Type="http://schemas.openxmlformats.org/officeDocument/2006/relationships/hyperlink" Target="https://image.tmdb.org/t/p/w342/uAR0AWqhQL1hQa69UDEbb2rE5Wx.jpg" TargetMode="External"/><Relationship Id="rId638" Type="http://schemas.openxmlformats.org/officeDocument/2006/relationships/hyperlink" Target="https://www.themoviedb.org/movie/747" TargetMode="External"/><Relationship Id="rId637" Type="http://schemas.openxmlformats.org/officeDocument/2006/relationships/hyperlink" Target="https://image.tmdb.org/t/p/w342/dgXPhzNJH8HFTBjXPB177yNx6RI.jpg" TargetMode="External"/><Relationship Id="rId636" Type="http://schemas.openxmlformats.org/officeDocument/2006/relationships/hyperlink" Target="https://www.themoviedb.org/movie/966" TargetMode="External"/><Relationship Id="rId631" Type="http://schemas.openxmlformats.org/officeDocument/2006/relationships/hyperlink" Target="https://image.tmdb.org/t/p/w342/7KJrvJf96UpkXsWVOjzCo1IbnW6.jpg" TargetMode="External"/><Relationship Id="rId630" Type="http://schemas.openxmlformats.org/officeDocument/2006/relationships/hyperlink" Target="https://www.themoviedb.org/movie/11249" TargetMode="External"/><Relationship Id="rId609" Type="http://schemas.openxmlformats.org/officeDocument/2006/relationships/hyperlink" Target="https://image.tmdb.org/t/p/w342/rKl79KqLXg60KFyKsLe4wSSjQ08.jpg" TargetMode="External"/><Relationship Id="rId608" Type="http://schemas.openxmlformats.org/officeDocument/2006/relationships/hyperlink" Target="https://www.themoviedb.org/movie/663" TargetMode="External"/><Relationship Id="rId607" Type="http://schemas.openxmlformats.org/officeDocument/2006/relationships/hyperlink" Target="https://image.tmdb.org/t/p/w342/ku1QdCXOU4ckz3zxLLlis8MIJVm.jpg" TargetMode="External"/><Relationship Id="rId602" Type="http://schemas.openxmlformats.org/officeDocument/2006/relationships/hyperlink" Target="https://www.themoviedb.org/movie/176" TargetMode="External"/><Relationship Id="rId601" Type="http://schemas.openxmlformats.org/officeDocument/2006/relationships/hyperlink" Target="https://image.tmdb.org/t/p/w342/rLNSOudrayDBo1uqXjrhxcjODIC.jpg" TargetMode="External"/><Relationship Id="rId600" Type="http://schemas.openxmlformats.org/officeDocument/2006/relationships/hyperlink" Target="https://www.themoviedb.org/movie/776797" TargetMode="External"/><Relationship Id="rId606" Type="http://schemas.openxmlformats.org/officeDocument/2006/relationships/hyperlink" Target="https://www.themoviedb.org/movie/214" TargetMode="External"/><Relationship Id="rId605" Type="http://schemas.openxmlformats.org/officeDocument/2006/relationships/hyperlink" Target="https://image.tmdb.org/t/p/w342/4iO9n24Rb10peXV0JH2EldIOrAp.jpg" TargetMode="External"/><Relationship Id="rId604" Type="http://schemas.openxmlformats.org/officeDocument/2006/relationships/hyperlink" Target="https://www.themoviedb.org/movie/215" TargetMode="External"/><Relationship Id="rId603" Type="http://schemas.openxmlformats.org/officeDocument/2006/relationships/hyperlink" Target="https://image.tmdb.org/t/p/w342/gTnaTysN8HsvVQqTRUh8m35mmUA.jpg" TargetMode="External"/><Relationship Id="rId228" Type="http://schemas.openxmlformats.org/officeDocument/2006/relationships/hyperlink" Target="https://www.themoviedb.org/movie/228150" TargetMode="External"/><Relationship Id="rId227" Type="http://schemas.openxmlformats.org/officeDocument/2006/relationships/hyperlink" Target="https://image.tmdb.org/t/p/w342/pfte7wdMobMF4CVHuOxyu6oqeeA.jpg" TargetMode="External"/><Relationship Id="rId469" Type="http://schemas.openxmlformats.org/officeDocument/2006/relationships/hyperlink" Target="https://image.tmdb.org/t/p/w342/n9SicwnoNGWBwE75le27sUhCLMm.jpg" TargetMode="External"/><Relationship Id="rId226" Type="http://schemas.openxmlformats.org/officeDocument/2006/relationships/hyperlink" Target="https://www.themoviedb.org/movie/20829" TargetMode="External"/><Relationship Id="rId468" Type="http://schemas.openxmlformats.org/officeDocument/2006/relationships/hyperlink" Target="https://www.themoviedb.org/movie/14686" TargetMode="External"/><Relationship Id="rId225" Type="http://schemas.openxmlformats.org/officeDocument/2006/relationships/hyperlink" Target="https://image.tmdb.org/t/p/w342/gEYKD5cWCBGg8Za3hhwDBk3gEsP.jpg" TargetMode="External"/><Relationship Id="rId467" Type="http://schemas.openxmlformats.org/officeDocument/2006/relationships/hyperlink" Target="https://image.tmdb.org/t/p/w342/t04hiJUR5EiUjobsYdvQNgJkxbI.jpg" TargetMode="External"/><Relationship Id="rId229" Type="http://schemas.openxmlformats.org/officeDocument/2006/relationships/hyperlink" Target="https://image.tmdb.org/t/p/w342/rJPbS2cYOYhDCjT5NmW1Fm6gFl3.jpg" TargetMode="External"/><Relationship Id="rId220" Type="http://schemas.openxmlformats.org/officeDocument/2006/relationships/hyperlink" Target="https://www.themoviedb.org/movie/50544" TargetMode="External"/><Relationship Id="rId462" Type="http://schemas.openxmlformats.org/officeDocument/2006/relationships/hyperlink" Target="https://www.themoviedb.org/movie/7278" TargetMode="External"/><Relationship Id="rId461" Type="http://schemas.openxmlformats.org/officeDocument/2006/relationships/hyperlink" Target="https://image.tmdb.org/t/p/w342/DWQOjAPvM8Kk1Qp3Xq0zae0Z6w.jpg" TargetMode="External"/><Relationship Id="rId460" Type="http://schemas.openxmlformats.org/officeDocument/2006/relationships/hyperlink" Target="https://www.themoviedb.org/movie/1023922" TargetMode="External"/><Relationship Id="rId224" Type="http://schemas.openxmlformats.org/officeDocument/2006/relationships/hyperlink" Target="https://www.themoviedb.org/movie/10234" TargetMode="External"/><Relationship Id="rId466" Type="http://schemas.openxmlformats.org/officeDocument/2006/relationships/hyperlink" Target="https://www.themoviedb.org/movie/10185" TargetMode="External"/><Relationship Id="rId223" Type="http://schemas.openxmlformats.org/officeDocument/2006/relationships/hyperlink" Target="https://image.tmdb.org/t/p/w342/vUJxLlRGM6KfXQDeAHqyMyhrI59.jpg" TargetMode="External"/><Relationship Id="rId465" Type="http://schemas.openxmlformats.org/officeDocument/2006/relationships/hyperlink" Target="https://image.tmdb.org/t/p/w342/x5YbfyUA8huK0shr008xwzNVJ5Y.jpg" TargetMode="External"/><Relationship Id="rId222" Type="http://schemas.openxmlformats.org/officeDocument/2006/relationships/hyperlink" Target="https://www.themoviedb.org/movie/13492" TargetMode="External"/><Relationship Id="rId464" Type="http://schemas.openxmlformats.org/officeDocument/2006/relationships/hyperlink" Target="https://www.themoviedb.org/movie/11423" TargetMode="External"/><Relationship Id="rId221" Type="http://schemas.openxmlformats.org/officeDocument/2006/relationships/hyperlink" Target="https://image.tmdb.org/t/p/w342/6GISAjE0XiSucmzXIhb1tdnV2yC.jpg" TargetMode="External"/><Relationship Id="rId463" Type="http://schemas.openxmlformats.org/officeDocument/2006/relationships/hyperlink" Target="https://image.tmdb.org/t/p/w342/jcgUjx1QcupGzjntTVlnQ15lHqy.jpg" TargetMode="External"/><Relationship Id="rId217" Type="http://schemas.openxmlformats.org/officeDocument/2006/relationships/hyperlink" Target="https://image.tmdb.org/t/p/w342/1J7zudfR3VLPwAf9lK5YPfSu0n6.jpg" TargetMode="External"/><Relationship Id="rId459" Type="http://schemas.openxmlformats.org/officeDocument/2006/relationships/hyperlink" Target="https://image.tmdb.org/t/p/w342/ArvoFK6nlouZRxYmtIOUzKIrg90.jpg" TargetMode="External"/><Relationship Id="rId216" Type="http://schemas.openxmlformats.org/officeDocument/2006/relationships/hyperlink" Target="https://www.themoviedb.org/movie/10283" TargetMode="External"/><Relationship Id="rId458" Type="http://schemas.openxmlformats.org/officeDocument/2006/relationships/hyperlink" Target="https://www.themoviedb.org/movie/605" TargetMode="External"/><Relationship Id="rId215" Type="http://schemas.openxmlformats.org/officeDocument/2006/relationships/hyperlink" Target="https://image.tmdb.org/t/p/w342/6ezOsZ9UzqGnbDokaatxdOWP6e9.jpg" TargetMode="External"/><Relationship Id="rId457" Type="http://schemas.openxmlformats.org/officeDocument/2006/relationships/hyperlink" Target="https://image.tmdb.org/t/p/w342/bkkS61w94ZVMNVd8KEyyJl2tnY5.jpg" TargetMode="External"/><Relationship Id="rId699" Type="http://schemas.openxmlformats.org/officeDocument/2006/relationships/hyperlink" Target="https://image.tmdb.org/t/p/w342/yzAlcuJhpnxRPjaj7AHBRbNPQCJ.jpg" TargetMode="External"/><Relationship Id="rId214" Type="http://schemas.openxmlformats.org/officeDocument/2006/relationships/hyperlink" Target="https://www.themoviedb.org/movie/10281" TargetMode="External"/><Relationship Id="rId456" Type="http://schemas.openxmlformats.org/officeDocument/2006/relationships/hyperlink" Target="https://www.themoviedb.org/movie/624860" TargetMode="External"/><Relationship Id="rId698" Type="http://schemas.openxmlformats.org/officeDocument/2006/relationships/hyperlink" Target="https://www.themoviedb.org/movie/1061474" TargetMode="External"/><Relationship Id="rId219" Type="http://schemas.openxmlformats.org/officeDocument/2006/relationships/hyperlink" Target="https://image.tmdb.org/t/p/w342/nKhhDFCdzxeJ3GUunQ570LDpUkz.jpg" TargetMode="External"/><Relationship Id="rId218" Type="http://schemas.openxmlformats.org/officeDocument/2006/relationships/hyperlink" Target="https://www.themoviedb.org/movie/9730" TargetMode="External"/><Relationship Id="rId451" Type="http://schemas.openxmlformats.org/officeDocument/2006/relationships/hyperlink" Target="https://image.tmdb.org/t/p/w342/aOIuZAjPaRIE6CMzbazvcHuHXDc.jpg" TargetMode="External"/><Relationship Id="rId693" Type="http://schemas.openxmlformats.org/officeDocument/2006/relationships/hyperlink" Target="https://image.tmdb.org/t/p/w342/eJGWx219ZcEMVQJhAgMiqo8tYY.jpg" TargetMode="External"/><Relationship Id="rId450" Type="http://schemas.openxmlformats.org/officeDocument/2006/relationships/hyperlink" Target="https://www.themoviedb.org/movie/9539" TargetMode="External"/><Relationship Id="rId692" Type="http://schemas.openxmlformats.org/officeDocument/2006/relationships/hyperlink" Target="https://www.themoviedb.org/movie/37686" TargetMode="External"/><Relationship Id="rId691" Type="http://schemas.openxmlformats.org/officeDocument/2006/relationships/hyperlink" Target="https://image.tmdb.org/t/p/w342/pUWIjaMMYJjeBm5bJyE3mIXdQ62.jpg" TargetMode="External"/><Relationship Id="rId690" Type="http://schemas.openxmlformats.org/officeDocument/2006/relationships/hyperlink" Target="https://www.themoviedb.org/movie/470229" TargetMode="External"/><Relationship Id="rId213" Type="http://schemas.openxmlformats.org/officeDocument/2006/relationships/hyperlink" Target="https://image.tmdb.org/t/p/w342/rUzk9Qnyz2FZGxHMBrq6DYIQZkO.jpg" TargetMode="External"/><Relationship Id="rId455" Type="http://schemas.openxmlformats.org/officeDocument/2006/relationships/hyperlink" Target="https://image.tmdb.org/t/p/w342/8c4a8kE7PizaGQQnditMmI1xbRp.jpg" TargetMode="External"/><Relationship Id="rId697" Type="http://schemas.openxmlformats.org/officeDocument/2006/relationships/hyperlink" Target="https://image.tmdb.org/t/p/w342/ldyfo0BKmz5rWtJJKCvwaNS4cJT.jpg" TargetMode="External"/><Relationship Id="rId212" Type="http://schemas.openxmlformats.org/officeDocument/2006/relationships/hyperlink" Target="https://www.themoviedb.org/movie/10225" TargetMode="External"/><Relationship Id="rId454" Type="http://schemas.openxmlformats.org/officeDocument/2006/relationships/hyperlink" Target="https://www.themoviedb.org/movie/604" TargetMode="External"/><Relationship Id="rId696" Type="http://schemas.openxmlformats.org/officeDocument/2006/relationships/hyperlink" Target="https://www.themoviedb.org/movie/8363" TargetMode="External"/><Relationship Id="rId211" Type="http://schemas.openxmlformats.org/officeDocument/2006/relationships/hyperlink" Target="https://image.tmdb.org/t/p/w342/6vdUpHvkspQonXBdWcLWW5ciEPJ.jpg" TargetMode="External"/><Relationship Id="rId453" Type="http://schemas.openxmlformats.org/officeDocument/2006/relationships/hyperlink" Target="https://image.tmdb.org/t/p/w342/aA5qHS0FbSXO8PxcxUIHbDrJyuh.jpg" TargetMode="External"/><Relationship Id="rId695" Type="http://schemas.openxmlformats.org/officeDocument/2006/relationships/hyperlink" Target="https://image.tmdb.org/t/p/w342/ek8e8txUyUwd2BNqj6lFEerJfbq.jpg" TargetMode="External"/><Relationship Id="rId210" Type="http://schemas.openxmlformats.org/officeDocument/2006/relationships/hyperlink" Target="https://www.themoviedb.org/movie/9731" TargetMode="External"/><Relationship Id="rId452" Type="http://schemas.openxmlformats.org/officeDocument/2006/relationships/hyperlink" Target="https://www.themoviedb.org/movie/603" TargetMode="External"/><Relationship Id="rId694" Type="http://schemas.openxmlformats.org/officeDocument/2006/relationships/hyperlink" Target="https://www.themoviedb.org/movie/1226863" TargetMode="External"/><Relationship Id="rId491" Type="http://schemas.openxmlformats.org/officeDocument/2006/relationships/hyperlink" Target="https://image.tmdb.org/t/p/w342/j9HrX8f7GbZQm1BrBiR40uFQZSb.jpg" TargetMode="External"/><Relationship Id="rId490" Type="http://schemas.openxmlformats.org/officeDocument/2006/relationships/hyperlink" Target="https://www.themoviedb.org/movie/195589" TargetMode="External"/><Relationship Id="rId249" Type="http://schemas.openxmlformats.org/officeDocument/2006/relationships/hyperlink" Target="https://image.tmdb.org/t/p/w342/35F5yD7MljvBE2AC0NHAVCoPGEi.jpg" TargetMode="External"/><Relationship Id="rId248" Type="http://schemas.openxmlformats.org/officeDocument/2006/relationships/hyperlink" Target="https://www.themoviedb.org/movie/927" TargetMode="External"/><Relationship Id="rId247" Type="http://schemas.openxmlformats.org/officeDocument/2006/relationships/hyperlink" Target="https://image.tmdb.org/t/p/w342/6m0F7fsXjQvUbCZrPWcJNrjvIui.jpg" TargetMode="External"/><Relationship Id="rId489" Type="http://schemas.openxmlformats.org/officeDocument/2006/relationships/hyperlink" Target="https://image.tmdb.org/t/p/w342/sN1RU08CMi8xkRIibremh3AOdgw.jpg" TargetMode="External"/><Relationship Id="rId242" Type="http://schemas.openxmlformats.org/officeDocument/2006/relationships/hyperlink" Target="https://www.themoviedb.org/movie/74387" TargetMode="External"/><Relationship Id="rId484" Type="http://schemas.openxmlformats.org/officeDocument/2006/relationships/hyperlink" Target="https://www.themoviedb.org/movie/1018" TargetMode="External"/><Relationship Id="rId241" Type="http://schemas.openxmlformats.org/officeDocument/2006/relationships/hyperlink" Target="https://image.tmdb.org/t/p/w342/xLmZCfJici1SdT6zmhDtGVWsXXi.jpg" TargetMode="External"/><Relationship Id="rId483" Type="http://schemas.openxmlformats.org/officeDocument/2006/relationships/hyperlink" Target="https://image.tmdb.org/t/p/w342/x7A59t6ySylr1L7aubOQEA480vM.jpg" TargetMode="External"/><Relationship Id="rId240" Type="http://schemas.openxmlformats.org/officeDocument/2006/relationships/hyperlink" Target="https://www.themoviedb.org/movie/508642" TargetMode="External"/><Relationship Id="rId482" Type="http://schemas.openxmlformats.org/officeDocument/2006/relationships/hyperlink" Target="https://www.themoviedb.org/movie/87818" TargetMode="External"/><Relationship Id="rId481" Type="http://schemas.openxmlformats.org/officeDocument/2006/relationships/hyperlink" Target="https://image.tmdb.org/t/p/w342/uYa06GxHsCsELx9vOQ11vsT0Aa6.jpg" TargetMode="External"/><Relationship Id="rId246" Type="http://schemas.openxmlformats.org/officeDocument/2006/relationships/hyperlink" Target="https://www.themoviedb.org/movie/64682" TargetMode="External"/><Relationship Id="rId488" Type="http://schemas.openxmlformats.org/officeDocument/2006/relationships/hyperlink" Target="https://www.themoviedb.org/movie/241" TargetMode="External"/><Relationship Id="rId245" Type="http://schemas.openxmlformats.org/officeDocument/2006/relationships/hyperlink" Target="https://image.tmdb.org/t/p/w342/tyxfCBQv6Ap74jcu3xd7aBiaa29.jpg" TargetMode="External"/><Relationship Id="rId487" Type="http://schemas.openxmlformats.org/officeDocument/2006/relationships/hyperlink" Target="https://image.tmdb.org/t/p/w342/fEKZwT91gxvkAoyPgpNXo8W5fu0.jpg" TargetMode="External"/><Relationship Id="rId244" Type="http://schemas.openxmlformats.org/officeDocument/2006/relationships/hyperlink" Target="https://www.themoviedb.org/movie/50698" TargetMode="External"/><Relationship Id="rId486" Type="http://schemas.openxmlformats.org/officeDocument/2006/relationships/hyperlink" Target="https://www.themoviedb.org/movie/2059" TargetMode="External"/><Relationship Id="rId243" Type="http://schemas.openxmlformats.org/officeDocument/2006/relationships/hyperlink" Target="https://image.tmdb.org/t/p/w342/8vnsB3Rg9Gb91UOaecXRb7dYB37.jpg" TargetMode="External"/><Relationship Id="rId485" Type="http://schemas.openxmlformats.org/officeDocument/2006/relationships/hyperlink" Target="https://image.tmdb.org/t/p/w342/pxL6E4GBOPUG6CdkO9cUQN5VMwI.jpg" TargetMode="External"/><Relationship Id="rId480" Type="http://schemas.openxmlformats.org/officeDocument/2006/relationships/hyperlink" Target="https://www.themoviedb.org/movie/381283" TargetMode="External"/><Relationship Id="rId239" Type="http://schemas.openxmlformats.org/officeDocument/2006/relationships/hyperlink" Target="https://image.tmdb.org/t/p/w342/fNqlsmu2tiI1bXcpU31yjHPkiJz.jpg" TargetMode="External"/><Relationship Id="rId238" Type="http://schemas.openxmlformats.org/officeDocument/2006/relationships/hyperlink" Target="https://www.themoviedb.org/movie/373571" TargetMode="External"/><Relationship Id="rId237" Type="http://schemas.openxmlformats.org/officeDocument/2006/relationships/hyperlink" Target="https://image.tmdb.org/t/p/w342/mzOHg7Q5q9yUmY0b9Esu8Qe6Nnm.jpg" TargetMode="External"/><Relationship Id="rId479" Type="http://schemas.openxmlformats.org/officeDocument/2006/relationships/hyperlink" Target="https://image.tmdb.org/t/p/w342/fjny9chXPx69ln1LMJxbwi5yHMt.jpg" TargetMode="External"/><Relationship Id="rId236" Type="http://schemas.openxmlformats.org/officeDocument/2006/relationships/hyperlink" Target="https://www.themoviedb.org/movie/399566" TargetMode="External"/><Relationship Id="rId478" Type="http://schemas.openxmlformats.org/officeDocument/2006/relationships/hyperlink" Target="https://www.themoviedb.org/movie/82695" TargetMode="External"/><Relationship Id="rId231" Type="http://schemas.openxmlformats.org/officeDocument/2006/relationships/hyperlink" Target="https://image.tmdb.org/t/p/w342/kIlzZJqV4SCGHrrjoGLBhmsO7z2.jpg" TargetMode="External"/><Relationship Id="rId473" Type="http://schemas.openxmlformats.org/officeDocument/2006/relationships/hyperlink" Target="https://image.tmdb.org/t/p/w342/hfnrual76gPeNFduhD4xzHWpfTw.jpg" TargetMode="External"/><Relationship Id="rId230" Type="http://schemas.openxmlformats.org/officeDocument/2006/relationships/hyperlink" Target="https://www.themoviedb.org/movie/257091" TargetMode="External"/><Relationship Id="rId472" Type="http://schemas.openxmlformats.org/officeDocument/2006/relationships/hyperlink" Target="https://www.themoviedb.org/movie/954" TargetMode="External"/><Relationship Id="rId471" Type="http://schemas.openxmlformats.org/officeDocument/2006/relationships/hyperlink" Target="https://image.tmdb.org/t/p/w342/l5uxY5m5OInWpcExIpKG6AR3rgL.jpg" TargetMode="External"/><Relationship Id="rId470" Type="http://schemas.openxmlformats.org/officeDocument/2006/relationships/hyperlink" Target="https://www.themoviedb.org/movie/188161" TargetMode="External"/><Relationship Id="rId235" Type="http://schemas.openxmlformats.org/officeDocument/2006/relationships/hyperlink" Target="https://image.tmdb.org/t/p/w342/pgqgaUx1cJb5oZQQ5v0tNARCeBp.jpg" TargetMode="External"/><Relationship Id="rId477" Type="http://schemas.openxmlformats.org/officeDocument/2006/relationships/hyperlink" Target="https://image.tmdb.org/t/p/w342/6CuzBs2Lb8At7qQr64mLXg2RYRb.jpg" TargetMode="External"/><Relationship Id="rId234" Type="http://schemas.openxmlformats.org/officeDocument/2006/relationships/hyperlink" Target="https://www.themoviedb.org/movie/74306" TargetMode="External"/><Relationship Id="rId476" Type="http://schemas.openxmlformats.org/officeDocument/2006/relationships/hyperlink" Target="https://www.themoviedb.org/movie/5876" TargetMode="External"/><Relationship Id="rId233" Type="http://schemas.openxmlformats.org/officeDocument/2006/relationships/hyperlink" Target="https://image.tmdb.org/t/p/w342/jEyiGve8BLOCvi8R2tL8H52aLp4.jpg" TargetMode="External"/><Relationship Id="rId475" Type="http://schemas.openxmlformats.org/officeDocument/2006/relationships/hyperlink" Target="https://image.tmdb.org/t/p/w342/1CvJ6diBACKPVGOpcWuY4XPQdqX.jpg" TargetMode="External"/><Relationship Id="rId232" Type="http://schemas.openxmlformats.org/officeDocument/2006/relationships/hyperlink" Target="https://www.themoviedb.org/movie/9645" TargetMode="External"/><Relationship Id="rId474" Type="http://schemas.openxmlformats.org/officeDocument/2006/relationships/hyperlink" Target="https://www.themoviedb.org/movie/955" TargetMode="External"/><Relationship Id="rId426" Type="http://schemas.openxmlformats.org/officeDocument/2006/relationships/hyperlink" Target="https://www.themoviedb.org/movie/13597" TargetMode="External"/><Relationship Id="rId668" Type="http://schemas.openxmlformats.org/officeDocument/2006/relationships/hyperlink" Target="https://www.themoviedb.org/movie/558" TargetMode="External"/><Relationship Id="rId425" Type="http://schemas.openxmlformats.org/officeDocument/2006/relationships/hyperlink" Target="https://image.tmdb.org/t/p/w342/hbSdA1DmNA9IlfVoqJkIWYF2oYm.jpg" TargetMode="External"/><Relationship Id="rId667" Type="http://schemas.openxmlformats.org/officeDocument/2006/relationships/hyperlink" Target="https://image.tmdb.org/t/p/w342/aGuvNAaaZuWXYQQ6N2v7DeuP6mB.jpg" TargetMode="External"/><Relationship Id="rId424" Type="http://schemas.openxmlformats.org/officeDocument/2006/relationships/hyperlink" Target="https://www.themoviedb.org/movie/287903" TargetMode="External"/><Relationship Id="rId666" Type="http://schemas.openxmlformats.org/officeDocument/2006/relationships/hyperlink" Target="https://www.themoviedb.org/movie/557" TargetMode="External"/><Relationship Id="rId423" Type="http://schemas.openxmlformats.org/officeDocument/2006/relationships/hyperlink" Target="https://image.tmdb.org/t/p/w342/mzPCU6xQ2XQmD76cDVZPm5PZAaS.jpg" TargetMode="External"/><Relationship Id="rId665" Type="http://schemas.openxmlformats.org/officeDocument/2006/relationships/hyperlink" Target="https://image.tmdb.org/t/p/w342/kjdJntyBeEvqm9w97QGBdxPptzj.jpg" TargetMode="External"/><Relationship Id="rId429" Type="http://schemas.openxmlformats.org/officeDocument/2006/relationships/hyperlink" Target="https://image.tmdb.org/t/p/w342/xxp0qcZ3n2YA53SIzWilDSfIaA4.jpg" TargetMode="External"/><Relationship Id="rId428" Type="http://schemas.openxmlformats.org/officeDocument/2006/relationships/hyperlink" Target="https://www.themoviedb.org/movie/27374" TargetMode="External"/><Relationship Id="rId427" Type="http://schemas.openxmlformats.org/officeDocument/2006/relationships/hyperlink" Target="https://image.tmdb.org/t/p/w342/g0zCELYfBfSv8TOGC13buABVN53.jpg" TargetMode="External"/><Relationship Id="rId669" Type="http://schemas.openxmlformats.org/officeDocument/2006/relationships/hyperlink" Target="https://image.tmdb.org/t/p/w342/qFmwhVUoUSXjkKRmca5yGDEXBIj.jpg" TargetMode="External"/><Relationship Id="rId660" Type="http://schemas.openxmlformats.org/officeDocument/2006/relationships/hyperlink" Target="https://www.themoviedb.org/movie/27022" TargetMode="External"/><Relationship Id="rId422" Type="http://schemas.openxmlformats.org/officeDocument/2006/relationships/hyperlink" Target="https://www.themoviedb.org/movie/293167" TargetMode="External"/><Relationship Id="rId664" Type="http://schemas.openxmlformats.org/officeDocument/2006/relationships/hyperlink" Target="https://www.themoviedb.org/movie/957" TargetMode="External"/><Relationship Id="rId421" Type="http://schemas.openxmlformats.org/officeDocument/2006/relationships/hyperlink" Target="https://image.tmdb.org/t/p/w342/r2517Vz9EhDhj88qwbDVj8DCRZN.jpg" TargetMode="External"/><Relationship Id="rId663" Type="http://schemas.openxmlformats.org/officeDocument/2006/relationships/hyperlink" Target="https://image.tmdb.org/t/p/w342/kNbaxEsnCyWBTfANVPHayujBsxp.jpg" TargetMode="External"/><Relationship Id="rId420" Type="http://schemas.openxmlformats.org/officeDocument/2006/relationships/hyperlink" Target="https://www.themoviedb.org/movie/13811" TargetMode="External"/><Relationship Id="rId662" Type="http://schemas.openxmlformats.org/officeDocument/2006/relationships/hyperlink" Target="https://www.themoviedb.org/movie/9473" TargetMode="External"/><Relationship Id="rId661" Type="http://schemas.openxmlformats.org/officeDocument/2006/relationships/hyperlink" Target="https://image.tmdb.org/t/p/w342/tS0PedvA2mFO9VCHYwQpaU1K36U.jpg" TargetMode="External"/><Relationship Id="rId415" Type="http://schemas.openxmlformats.org/officeDocument/2006/relationships/hyperlink" Target="https://image.tmdb.org/t/p/w342/1go2A3gdQjaMuHWquybgoJlQRcX.jpg" TargetMode="External"/><Relationship Id="rId657" Type="http://schemas.openxmlformats.org/officeDocument/2006/relationships/hyperlink" Target="https://image.tmdb.org/t/p/w342/aQvJ5WPzZgYVDrxLX4R6cLJCEaQ.jpg" TargetMode="External"/><Relationship Id="rId414" Type="http://schemas.openxmlformats.org/officeDocument/2006/relationships/hyperlink" Target="https://www.themoviedb.org/movie/23483" TargetMode="External"/><Relationship Id="rId656" Type="http://schemas.openxmlformats.org/officeDocument/2006/relationships/hyperlink" Target="https://www.themoviedb.org/movie/882598" TargetMode="External"/><Relationship Id="rId413" Type="http://schemas.openxmlformats.org/officeDocument/2006/relationships/hyperlink" Target="https://image.tmdb.org/t/p/w342/iHMbrTHJwocsNvo5murCBw0CwTo.jpg" TargetMode="External"/><Relationship Id="rId655" Type="http://schemas.openxmlformats.org/officeDocument/2006/relationships/hyperlink" Target="https://image.tmdb.org/t/p/w342/aPqcQwu4VGEewPhagWNncDbJ9Xp.jpg" TargetMode="External"/><Relationship Id="rId412" Type="http://schemas.openxmlformats.org/officeDocument/2006/relationships/hyperlink" Target="https://www.themoviedb.org/movie/1234821" TargetMode="External"/><Relationship Id="rId654" Type="http://schemas.openxmlformats.org/officeDocument/2006/relationships/hyperlink" Target="https://www.themoviedb.org/movie/1233413" TargetMode="External"/><Relationship Id="rId419" Type="http://schemas.openxmlformats.org/officeDocument/2006/relationships/hyperlink" Target="https://image.tmdb.org/t/p/w342/OG0mxQt4YaNIWiz8EKJSHe9lPh.jpg" TargetMode="External"/><Relationship Id="rId418" Type="http://schemas.openxmlformats.org/officeDocument/2006/relationships/hyperlink" Target="https://www.themoviedb.org/movie/254" TargetMode="External"/><Relationship Id="rId417" Type="http://schemas.openxmlformats.org/officeDocument/2006/relationships/hyperlink" Target="https://image.tmdb.org/t/p/w342/6a2HY6UmD7XiDD3NokgaBAXEsD2.jpg" TargetMode="External"/><Relationship Id="rId659" Type="http://schemas.openxmlformats.org/officeDocument/2006/relationships/hyperlink" Target="https://image.tmdb.org/t/p/w342/b5pIUsGll0418NyfNA5eYCI9aoK.jpg" TargetMode="External"/><Relationship Id="rId416" Type="http://schemas.openxmlformats.org/officeDocument/2006/relationships/hyperlink" Target="https://www.themoviedb.org/movie/59859" TargetMode="External"/><Relationship Id="rId658" Type="http://schemas.openxmlformats.org/officeDocument/2006/relationships/hyperlink" Target="https://www.themoviedb.org/movie/454626" TargetMode="External"/><Relationship Id="rId411" Type="http://schemas.openxmlformats.org/officeDocument/2006/relationships/hyperlink" Target="https://image.tmdb.org/t/p/w342/1RICxzeoNCAO5NpcRMIgg1XT6fm.jpg" TargetMode="External"/><Relationship Id="rId653" Type="http://schemas.openxmlformats.org/officeDocument/2006/relationships/hyperlink" Target="https://image.tmdb.org/t/p/w342/oucvKATkCI77ngtPjxAI9SAZW42.jpg" TargetMode="External"/><Relationship Id="rId410" Type="http://schemas.openxmlformats.org/officeDocument/2006/relationships/hyperlink" Target="https://www.themoviedb.org/movie/351286" TargetMode="External"/><Relationship Id="rId652" Type="http://schemas.openxmlformats.org/officeDocument/2006/relationships/hyperlink" Target="https://www.themoviedb.org/movie/283445" TargetMode="External"/><Relationship Id="rId651" Type="http://schemas.openxmlformats.org/officeDocument/2006/relationships/hyperlink" Target="https://image.tmdb.org/t/p/w342/hF6ORyihtAWHqKkIQI8BSpLQyON.jpg" TargetMode="External"/><Relationship Id="rId650" Type="http://schemas.openxmlformats.org/officeDocument/2006/relationships/hyperlink" Target="https://www.themoviedb.org/movie/82507" TargetMode="External"/><Relationship Id="rId206" Type="http://schemas.openxmlformats.org/officeDocument/2006/relationships/hyperlink" Target="https://www.themoviedb.org/movie/9728" TargetMode="External"/><Relationship Id="rId448" Type="http://schemas.openxmlformats.org/officeDocument/2006/relationships/hyperlink" Target="https://www.themoviedb.org/movie/619778" TargetMode="External"/><Relationship Id="rId205" Type="http://schemas.openxmlformats.org/officeDocument/2006/relationships/hyperlink" Target="https://image.tmdb.org/t/p/w342/9kukTSlgFgXnQGdpcHvHcpTDiUc.jpg" TargetMode="External"/><Relationship Id="rId447" Type="http://schemas.openxmlformats.org/officeDocument/2006/relationships/hyperlink" Target="https://image.tmdb.org/t/p/w342/dGv2BWjzwAz6LB8a8JeRIZL8hSz.jpg" TargetMode="External"/><Relationship Id="rId689" Type="http://schemas.openxmlformats.org/officeDocument/2006/relationships/hyperlink" Target="https://image.tmdb.org/t/p/w342/zastd8zM2ftOJpC7Y6gRFqAB7r.jpg" TargetMode="External"/><Relationship Id="rId204" Type="http://schemas.openxmlformats.org/officeDocument/2006/relationships/hyperlink" Target="https://www.themoviedb.org/movie/13207" TargetMode="External"/><Relationship Id="rId446" Type="http://schemas.openxmlformats.org/officeDocument/2006/relationships/hyperlink" Target="https://www.themoviedb.org/movie/420809" TargetMode="External"/><Relationship Id="rId688" Type="http://schemas.openxmlformats.org/officeDocument/2006/relationships/hyperlink" Target="https://www.themoviedb.org/movie/933260" TargetMode="External"/><Relationship Id="rId203" Type="http://schemas.openxmlformats.org/officeDocument/2006/relationships/hyperlink" Target="https://image.tmdb.org/t/p/w342/88wlJ4teYlck4hJ2bnlxBrAVh0m.jpg" TargetMode="External"/><Relationship Id="rId445" Type="http://schemas.openxmlformats.org/officeDocument/2006/relationships/hyperlink" Target="https://image.tmdb.org/t/p/w342/vloNTScJ3w7jwNwtNGoG8DbTThv.jpg" TargetMode="External"/><Relationship Id="rId687" Type="http://schemas.openxmlformats.org/officeDocument/2006/relationships/hyperlink" Target="https://image.tmdb.org/t/p/w342/lqoMzCcZYEFK729d6qzt349fB4o.jpg" TargetMode="External"/><Relationship Id="rId209" Type="http://schemas.openxmlformats.org/officeDocument/2006/relationships/hyperlink" Target="https://image.tmdb.org/t/p/w342/ewnIs4aCuWnKQ13Eaj8f3ybrQc8.jpg" TargetMode="External"/><Relationship Id="rId208" Type="http://schemas.openxmlformats.org/officeDocument/2006/relationships/hyperlink" Target="https://www.themoviedb.org/movie/9725" TargetMode="External"/><Relationship Id="rId207" Type="http://schemas.openxmlformats.org/officeDocument/2006/relationships/hyperlink" Target="https://image.tmdb.org/t/p/w342/92rGctBMTv4uaSlIBVnhz01kRWL.jpg" TargetMode="External"/><Relationship Id="rId449" Type="http://schemas.openxmlformats.org/officeDocument/2006/relationships/hyperlink" Target="https://image.tmdb.org/t/p/w342/sT5ITTlTcnPOeFzHEu5j0hTZUvD.jpg" TargetMode="External"/><Relationship Id="rId440" Type="http://schemas.openxmlformats.org/officeDocument/2006/relationships/hyperlink" Target="https://www.themoviedb.org/movie/121" TargetMode="External"/><Relationship Id="rId682" Type="http://schemas.openxmlformats.org/officeDocument/2006/relationships/hyperlink" Target="https://www.themoviedb.org/movie/1891" TargetMode="External"/><Relationship Id="rId681" Type="http://schemas.openxmlformats.org/officeDocument/2006/relationships/hyperlink" Target="https://image.tmdb.org/t/p/w342/nNAeTmF4CtdSgMDplXTDPOpYzsX.jpg" TargetMode="External"/><Relationship Id="rId680" Type="http://schemas.openxmlformats.org/officeDocument/2006/relationships/hyperlink" Target="https://www.themoviedb.org/movie/11" TargetMode="External"/><Relationship Id="rId202" Type="http://schemas.openxmlformats.org/officeDocument/2006/relationships/hyperlink" Target="https://www.themoviedb.org/movie/4488" TargetMode="External"/><Relationship Id="rId444" Type="http://schemas.openxmlformats.org/officeDocument/2006/relationships/hyperlink" Target="https://www.themoviedb.org/movie/536554" TargetMode="External"/><Relationship Id="rId686" Type="http://schemas.openxmlformats.org/officeDocument/2006/relationships/hyperlink" Target="https://www.themoviedb.org/movie/10665" TargetMode="External"/><Relationship Id="rId201" Type="http://schemas.openxmlformats.org/officeDocument/2006/relationships/hyperlink" Target="https://image.tmdb.org/t/p/w342/uGGpnWHOmWTARVN9wbC1nPxNgps.jpg" TargetMode="External"/><Relationship Id="rId443" Type="http://schemas.openxmlformats.org/officeDocument/2006/relationships/hyperlink" Target="https://image.tmdb.org/t/p/w342/d9nBoowhjiiYc4FBNtQkPY7c11H.jpg" TargetMode="External"/><Relationship Id="rId685" Type="http://schemas.openxmlformats.org/officeDocument/2006/relationships/hyperlink" Target="https://image.tmdb.org/t/p/w342/gwsg4qFmLOvlhwXj4OZuxfFUdP0.jpg" TargetMode="External"/><Relationship Id="rId200" Type="http://schemas.openxmlformats.org/officeDocument/2006/relationships/hyperlink" Target="https://www.themoviedb.org/movie/11284" TargetMode="External"/><Relationship Id="rId442" Type="http://schemas.openxmlformats.org/officeDocument/2006/relationships/hyperlink" Target="https://www.themoviedb.org/movie/330" TargetMode="External"/><Relationship Id="rId684" Type="http://schemas.openxmlformats.org/officeDocument/2006/relationships/hyperlink" Target="https://www.themoviedb.org/movie/1892" TargetMode="External"/><Relationship Id="rId441" Type="http://schemas.openxmlformats.org/officeDocument/2006/relationships/hyperlink" Target="https://image.tmdb.org/t/p/w342/6fSkhv35nPSw9hwPVCMINQFG1WD.jpg" TargetMode="External"/><Relationship Id="rId683" Type="http://schemas.openxmlformats.org/officeDocument/2006/relationships/hyperlink" Target="https://image.tmdb.org/t/p/w342/jQYlydvHm3kUix1f8prMucrplhm.jpg" TargetMode="External"/><Relationship Id="rId437" Type="http://schemas.openxmlformats.org/officeDocument/2006/relationships/hyperlink" Target="https://image.tmdb.org/t/p/w342/rCzpDGLbOoPwLjy3OAm5NUPOTrC.jpg" TargetMode="External"/><Relationship Id="rId679" Type="http://schemas.openxmlformats.org/officeDocument/2006/relationships/hyperlink" Target="https://image.tmdb.org/t/p/w342/6FfCtAuVAW8XJjZ7eWeLibRLWTw.jpg" TargetMode="External"/><Relationship Id="rId436" Type="http://schemas.openxmlformats.org/officeDocument/2006/relationships/hyperlink" Target="https://www.themoviedb.org/movie/120" TargetMode="External"/><Relationship Id="rId678" Type="http://schemas.openxmlformats.org/officeDocument/2006/relationships/hyperlink" Target="https://www.themoviedb.org/movie/1895" TargetMode="External"/><Relationship Id="rId435" Type="http://schemas.openxmlformats.org/officeDocument/2006/relationships/hyperlink" Target="https://image.tmdb.org/t/p/w342/6oom5QYQ2yQTMJIbnvbkBL9cHo6.jpg" TargetMode="External"/><Relationship Id="rId677" Type="http://schemas.openxmlformats.org/officeDocument/2006/relationships/hyperlink" Target="https://image.tmdb.org/t/p/w342/xfSAoBEm9MNBjmlNcDYLvLSMlnq.jpg" TargetMode="External"/><Relationship Id="rId434" Type="http://schemas.openxmlformats.org/officeDocument/2006/relationships/hyperlink" Target="https://www.themoviedb.org/movie/345911" TargetMode="External"/><Relationship Id="rId676" Type="http://schemas.openxmlformats.org/officeDocument/2006/relationships/hyperlink" Target="https://www.themoviedb.org/movie/1894" TargetMode="External"/><Relationship Id="rId439" Type="http://schemas.openxmlformats.org/officeDocument/2006/relationships/hyperlink" Target="https://image.tmdb.org/t/p/w342/5VTN0pR8gcqV3EPUHHfMGnJYN9L.jpg" TargetMode="External"/><Relationship Id="rId438" Type="http://schemas.openxmlformats.org/officeDocument/2006/relationships/hyperlink" Target="https://www.themoviedb.org/movie/122" TargetMode="External"/><Relationship Id="rId671" Type="http://schemas.openxmlformats.org/officeDocument/2006/relationships/hyperlink" Target="https://image.tmdb.org/t/p/w342/qDlmKahejt0NoQzw65tnLayEhHZ.jpg" TargetMode="External"/><Relationship Id="rId670" Type="http://schemas.openxmlformats.org/officeDocument/2006/relationships/hyperlink" Target="https://www.themoviedb.org/movie/559" TargetMode="External"/><Relationship Id="rId433" Type="http://schemas.openxmlformats.org/officeDocument/2006/relationships/hyperlink" Target="https://image.tmdb.org/t/p/w342/8BnElzAQQpp7ZgdJJiAe1diomr4.jpg" TargetMode="External"/><Relationship Id="rId675" Type="http://schemas.openxmlformats.org/officeDocument/2006/relationships/hyperlink" Target="https://image.tmdb.org/t/p/w342/oZNPzxqM2s5DyVWab09NTQScDQt.jpg" TargetMode="External"/><Relationship Id="rId432" Type="http://schemas.openxmlformats.org/officeDocument/2006/relationships/hyperlink" Target="https://www.themoviedb.org/movie/18405" TargetMode="External"/><Relationship Id="rId674" Type="http://schemas.openxmlformats.org/officeDocument/2006/relationships/hyperlink" Target="https://www.themoviedb.org/movie/1893" TargetMode="External"/><Relationship Id="rId431" Type="http://schemas.openxmlformats.org/officeDocument/2006/relationships/hyperlink" Target="https://image.tmdb.org/t/p/w342/2Y35XCUS8U8vC8vs0HDEVkPu1BM.jpg" TargetMode="External"/><Relationship Id="rId673" Type="http://schemas.openxmlformats.org/officeDocument/2006/relationships/hyperlink" Target="https://image.tmdb.org/t/p/w342/6wkfovpn7Eq8dYNKaG5PY3q2oq6.jpg" TargetMode="External"/><Relationship Id="rId430" Type="http://schemas.openxmlformats.org/officeDocument/2006/relationships/hyperlink" Target="https://www.themoviedb.org/movie/11683" TargetMode="External"/><Relationship Id="rId672" Type="http://schemas.openxmlformats.org/officeDocument/2006/relationships/hyperlink" Target="https://www.themoviedb.org/movie/2398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pageSetUpPr/>
  </sheetPr>
  <sheetViews>
    <sheetView workbookViewId="0"/>
  </sheetViews>
  <sheetFormatPr customHeight="1" defaultColWidth="12.63" defaultRowHeight="15.75"/>
  <cols>
    <col customWidth="1" min="1" max="1" width="12.0"/>
    <col customWidth="1" min="2" max="2" width="20.75"/>
    <col customWidth="1" min="3" max="3" width="30.0"/>
    <col customWidth="1" min="4" max="4" width="12.0"/>
    <col customWidth="1" hidden="1" min="5" max="5" width="9.0"/>
    <col customWidth="1" min="6" max="6" width="12.0"/>
    <col customWidth="1" hidden="1" min="7" max="7" width="14.0"/>
    <col customWidth="1" min="8" max="8" width="10.0"/>
    <col customWidth="1" min="9" max="9" width="12.0"/>
    <col customWidth="1" min="10" max="10" width="24.0"/>
    <col customWidth="1" hidden="1" min="11" max="11" width="16.0"/>
    <col customWidth="1" hidden="1" min="12" max="12" width="32.0"/>
    <col customWidth="1" min="13" max="13" width="12.0"/>
    <col customWidth="1" min="14" max="14" width="42.0"/>
    <col customWidth="1" min="15" max="16" width="14.0"/>
    <col customWidth="1" min="17" max="17" width="36.0"/>
    <col customWidth="1" hidden="1" min="18" max="18" width="30.0"/>
    <col customWidth="1" hidden="1" min="19" max="19" width="24.0"/>
    <col customWidth="1" min="20" max="26" width="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67.5" customHeight="1">
      <c r="A2" s="2" t="s">
        <v>19</v>
      </c>
      <c r="B2" s="3" t="str">
        <f>IMAGE("https://image.tmdb.org/t/p/w342/9I7gV6wRbGnbfI3XOKjHeLMjYEo.jpg")</f>
        <v/>
      </c>
      <c r="C2" s="2" t="s">
        <v>20</v>
      </c>
      <c r="D2" s="4">
        <v>39511.0</v>
      </c>
      <c r="E2" s="5">
        <v>2008.0</v>
      </c>
      <c r="F2" s="2" t="s">
        <v>21</v>
      </c>
      <c r="G2" s="6"/>
      <c r="H2" s="5">
        <v>7840.0</v>
      </c>
      <c r="I2" s="7">
        <v>5.503</v>
      </c>
      <c r="J2" s="2" t="s">
        <v>22</v>
      </c>
      <c r="K2" s="2" t="s">
        <v>23</v>
      </c>
      <c r="L2" s="8" t="s">
        <v>24</v>
      </c>
      <c r="M2" s="9">
        <v>109.0</v>
      </c>
      <c r="N2" s="2" t="s">
        <v>25</v>
      </c>
      <c r="O2" s="2" t="s">
        <v>26</v>
      </c>
      <c r="P2" s="10"/>
      <c r="Q2" s="3"/>
      <c r="R2" s="8" t="s">
        <v>27</v>
      </c>
      <c r="S2" s="2" t="s">
        <v>28</v>
      </c>
    </row>
    <row r="3" ht="67.5" customHeight="1">
      <c r="A3" s="2" t="s">
        <v>29</v>
      </c>
      <c r="B3" s="3" t="str">
        <f>IMAGE("https://image.tmdb.org/t/p/w342/ve72VxNqjGM69Uky4WTo2bK6rfq.jpg")</f>
        <v/>
      </c>
      <c r="C3" s="2" t="s">
        <v>30</v>
      </c>
      <c r="D3" s="4">
        <v>24930.0</v>
      </c>
      <c r="E3" s="5">
        <v>1968.0</v>
      </c>
      <c r="F3" s="2" t="s">
        <v>31</v>
      </c>
      <c r="G3" s="6"/>
      <c r="H3" s="5">
        <v>62.0</v>
      </c>
      <c r="I3" s="7">
        <v>8.049</v>
      </c>
      <c r="J3" s="2" t="s">
        <v>32</v>
      </c>
      <c r="K3" s="2" t="s">
        <v>33</v>
      </c>
      <c r="L3" s="8" t="s">
        <v>34</v>
      </c>
      <c r="M3" s="9">
        <v>149.0</v>
      </c>
      <c r="N3" s="2" t="s">
        <v>35</v>
      </c>
      <c r="O3" s="2" t="s">
        <v>26</v>
      </c>
      <c r="P3" s="10"/>
      <c r="Q3" s="3"/>
      <c r="R3" s="8" t="s">
        <v>36</v>
      </c>
      <c r="S3" s="2" t="s">
        <v>28</v>
      </c>
    </row>
    <row r="4" ht="67.5" customHeight="1">
      <c r="A4" s="2" t="s">
        <v>37</v>
      </c>
      <c r="B4" s="3" t="str">
        <f>IMAGE("https://image.tmdb.org/t/p/w342/iaURDnsqwTpFdg7RuizUp0nI2I4.jpg")</f>
        <v/>
      </c>
      <c r="C4" s="2" t="s">
        <v>38</v>
      </c>
      <c r="D4" s="4">
        <v>43724.0</v>
      </c>
      <c r="E4" s="5">
        <v>2019.0</v>
      </c>
      <c r="F4" s="2" t="s">
        <v>21</v>
      </c>
      <c r="G4" s="6"/>
      <c r="H4" s="5">
        <v>489064.0</v>
      </c>
      <c r="I4" s="7">
        <v>5.8</v>
      </c>
      <c r="J4" s="2" t="s">
        <v>39</v>
      </c>
      <c r="K4" s="2" t="s">
        <v>40</v>
      </c>
      <c r="L4" s="8" t="s">
        <v>41</v>
      </c>
      <c r="M4" s="9">
        <v>115.0</v>
      </c>
      <c r="N4" s="2" t="s">
        <v>42</v>
      </c>
      <c r="O4" s="2" t="s">
        <v>26</v>
      </c>
      <c r="P4" s="10"/>
      <c r="Q4" s="3"/>
      <c r="R4" s="8" t="s">
        <v>43</v>
      </c>
      <c r="S4" s="2" t="s">
        <v>28</v>
      </c>
    </row>
    <row r="5" ht="67.5" customHeight="1">
      <c r="A5" s="2" t="s">
        <v>44</v>
      </c>
      <c r="B5" s="3" t="str">
        <f>IMAGE("https://image.tmdb.org/t/p/w342/7LwSrvFA0gz1KAlcrGcinoQPene.jpg")</f>
        <v/>
      </c>
      <c r="C5" s="2" t="s">
        <v>45</v>
      </c>
      <c r="D5" s="4">
        <v>39372.0</v>
      </c>
      <c r="E5" s="5">
        <v>2007.0</v>
      </c>
      <c r="F5" s="2" t="s">
        <v>21</v>
      </c>
      <c r="G5" s="6"/>
      <c r="H5" s="5">
        <v>4513.0</v>
      </c>
      <c r="I5" s="7">
        <v>6.4</v>
      </c>
      <c r="J5" s="2" t="s">
        <v>39</v>
      </c>
      <c r="K5" s="2" t="s">
        <v>46</v>
      </c>
      <c r="L5" s="8" t="s">
        <v>47</v>
      </c>
      <c r="M5" s="9">
        <v>113.0</v>
      </c>
      <c r="N5" s="2" t="s">
        <v>48</v>
      </c>
      <c r="O5" s="2" t="s">
        <v>26</v>
      </c>
      <c r="P5" s="10"/>
      <c r="Q5" s="3"/>
      <c r="R5" s="8" t="s">
        <v>49</v>
      </c>
      <c r="S5" s="2" t="s">
        <v>28</v>
      </c>
    </row>
    <row r="6" ht="67.5" customHeight="1">
      <c r="A6" s="2" t="s">
        <v>50</v>
      </c>
      <c r="B6" s="3" t="str">
        <f>IMAGE("https://image.tmdb.org/t/p/w342/12VgS5G6OG7ANKrSbhtUD2POHb8.jpg")</f>
        <v/>
      </c>
      <c r="C6" s="2" t="s">
        <v>51</v>
      </c>
      <c r="D6" s="4">
        <v>40766.0</v>
      </c>
      <c r="E6" s="5">
        <v>2011.0</v>
      </c>
      <c r="F6" s="2" t="s">
        <v>21</v>
      </c>
      <c r="G6" s="6"/>
      <c r="H6" s="5">
        <v>62206.0</v>
      </c>
      <c r="I6" s="7">
        <v>5.8</v>
      </c>
      <c r="J6" s="2" t="s">
        <v>52</v>
      </c>
      <c r="K6" s="2" t="s">
        <v>53</v>
      </c>
      <c r="L6" s="8" t="s">
        <v>54</v>
      </c>
      <c r="M6" s="9">
        <v>83.0</v>
      </c>
      <c r="N6" s="2" t="s">
        <v>55</v>
      </c>
      <c r="O6" s="2" t="s">
        <v>56</v>
      </c>
      <c r="P6" s="11">
        <v>3.0</v>
      </c>
      <c r="Q6" s="3"/>
      <c r="R6" s="8" t="s">
        <v>57</v>
      </c>
      <c r="S6" s="2" t="s">
        <v>28</v>
      </c>
    </row>
    <row r="7" ht="67.5" customHeight="1">
      <c r="A7" s="2" t="s">
        <v>58</v>
      </c>
      <c r="B7" s="3" t="str">
        <f>IMAGE("https://image.tmdb.org/t/p/w342/mVeoqL37gzhMXQVpONi9DGOQ3tZ.jpg")</f>
        <v/>
      </c>
      <c r="C7" s="2" t="s">
        <v>59</v>
      </c>
      <c r="D7" s="4">
        <v>38575.0</v>
      </c>
      <c r="E7" s="5">
        <v>2005.0</v>
      </c>
      <c r="F7" s="2" t="s">
        <v>21</v>
      </c>
      <c r="G7" s="6"/>
      <c r="H7" s="5">
        <v>6957.0</v>
      </c>
      <c r="I7" s="7">
        <v>6.422</v>
      </c>
      <c r="J7" s="2" t="s">
        <v>60</v>
      </c>
      <c r="K7" s="2" t="s">
        <v>61</v>
      </c>
      <c r="L7" s="8" t="s">
        <v>62</v>
      </c>
      <c r="M7" s="9">
        <v>116.0</v>
      </c>
      <c r="N7" s="2" t="s">
        <v>63</v>
      </c>
      <c r="O7" s="2" t="s">
        <v>56</v>
      </c>
      <c r="P7" s="11">
        <v>4.0</v>
      </c>
      <c r="Q7" s="3"/>
      <c r="R7" s="8" t="s">
        <v>64</v>
      </c>
      <c r="S7" s="2" t="s">
        <v>28</v>
      </c>
    </row>
    <row r="8" ht="67.5" customHeight="1">
      <c r="A8" s="2" t="s">
        <v>65</v>
      </c>
      <c r="B8" s="3" t="str">
        <f>IMAGE("https://image.tmdb.org/t/p/w342/iZ7jVGQWj3eBUdqwAPUlKk0BaS2.jpg")</f>
        <v/>
      </c>
      <c r="C8" s="2">
        <v>42.0</v>
      </c>
      <c r="D8" s="4">
        <v>41376.0</v>
      </c>
      <c r="E8" s="5">
        <v>2013.0</v>
      </c>
      <c r="F8" s="2" t="s">
        <v>21</v>
      </c>
      <c r="G8" s="6"/>
      <c r="H8" s="5">
        <v>109410.0</v>
      </c>
      <c r="I8" s="7">
        <v>7.196</v>
      </c>
      <c r="J8" s="2" t="s">
        <v>66</v>
      </c>
      <c r="K8" s="2" t="s">
        <v>67</v>
      </c>
      <c r="L8" s="8" t="s">
        <v>68</v>
      </c>
      <c r="M8" s="9">
        <v>128.0</v>
      </c>
      <c r="N8" s="2" t="s">
        <v>69</v>
      </c>
      <c r="O8" s="2" t="s">
        <v>26</v>
      </c>
      <c r="P8" s="10"/>
      <c r="Q8" s="3"/>
      <c r="R8" s="8" t="s">
        <v>70</v>
      </c>
      <c r="S8" s="2" t="s">
        <v>28</v>
      </c>
    </row>
    <row r="9" ht="67.5" customHeight="1">
      <c r="A9" s="2" t="s">
        <v>71</v>
      </c>
      <c r="B9" s="3" t="str">
        <f>IMAGE("https://image.tmdb.org/t/p/w342/hgyJR4sgMsee6xMFM3xYiG6cDCh.jpg")</f>
        <v/>
      </c>
      <c r="C9" s="2" t="s">
        <v>72</v>
      </c>
      <c r="D9" s="4">
        <v>39409.0</v>
      </c>
      <c r="E9" s="5">
        <v>2007.0</v>
      </c>
      <c r="F9" s="2" t="s">
        <v>21</v>
      </c>
      <c r="G9" s="6"/>
      <c r="H9" s="5">
        <v>8329.0</v>
      </c>
      <c r="I9" s="7">
        <v>7.227</v>
      </c>
      <c r="J9" s="2" t="s">
        <v>73</v>
      </c>
      <c r="K9" s="2" t="s">
        <v>74</v>
      </c>
      <c r="L9" s="8" t="s">
        <v>75</v>
      </c>
      <c r="M9" s="9">
        <v>78.0</v>
      </c>
      <c r="N9" s="2" t="s">
        <v>76</v>
      </c>
      <c r="O9" s="2" t="s">
        <v>56</v>
      </c>
      <c r="P9" s="11">
        <v>4.0</v>
      </c>
      <c r="Q9" s="3"/>
      <c r="R9" s="8" t="s">
        <v>77</v>
      </c>
      <c r="S9" s="2" t="s">
        <v>28</v>
      </c>
    </row>
    <row r="10" ht="67.5" customHeight="1">
      <c r="A10" s="2" t="s">
        <v>78</v>
      </c>
      <c r="B10" s="3" t="str">
        <f>IMAGE("https://image.tmdb.org/t/p/w342/4JG5WKfIGD6r7hdbqJVr2WKIxEe.jpg")</f>
        <v/>
      </c>
      <c r="C10" s="2" t="s">
        <v>79</v>
      </c>
      <c r="D10" s="4">
        <v>40071.0</v>
      </c>
      <c r="E10" s="5">
        <v>2009.0</v>
      </c>
      <c r="F10" s="2" t="s">
        <v>21</v>
      </c>
      <c r="G10" s="6"/>
      <c r="H10" s="5">
        <v>10664.0</v>
      </c>
      <c r="I10" s="7">
        <v>6.628</v>
      </c>
      <c r="J10" s="2" t="s">
        <v>80</v>
      </c>
      <c r="K10" s="2" t="s">
        <v>81</v>
      </c>
      <c r="L10" s="8" t="s">
        <v>82</v>
      </c>
      <c r="M10" s="9">
        <v>84.0</v>
      </c>
      <c r="N10" s="2" t="s">
        <v>83</v>
      </c>
      <c r="O10" s="2" t="s">
        <v>26</v>
      </c>
      <c r="P10" s="10"/>
      <c r="Q10" s="3"/>
      <c r="R10" s="8" t="s">
        <v>84</v>
      </c>
      <c r="S10" s="2" t="s">
        <v>28</v>
      </c>
    </row>
    <row r="11" ht="67.5" customHeight="1">
      <c r="A11" s="2" t="s">
        <v>85</v>
      </c>
      <c r="B11" s="3" t="str">
        <f>IMAGE("https://image.tmdb.org/t/p/w342/vbflx4rDj3YrRAAk4HSWsEgZVlK.jpg")</f>
        <v/>
      </c>
      <c r="C11" s="2" t="s">
        <v>86</v>
      </c>
      <c r="D11" s="4">
        <v>41943.0</v>
      </c>
      <c r="E11" s="5">
        <v>2014.0</v>
      </c>
      <c r="F11" s="2" t="s">
        <v>21</v>
      </c>
      <c r="G11" s="6"/>
      <c r="H11" s="5">
        <v>185341.0</v>
      </c>
      <c r="I11" s="7">
        <v>5.619</v>
      </c>
      <c r="J11" s="2" t="s">
        <v>80</v>
      </c>
      <c r="K11" s="2" t="s">
        <v>87</v>
      </c>
      <c r="L11" s="8" t="s">
        <v>88</v>
      </c>
      <c r="M11" s="9">
        <v>95.0</v>
      </c>
      <c r="N11" s="2" t="s">
        <v>89</v>
      </c>
      <c r="O11" s="2" t="s">
        <v>26</v>
      </c>
      <c r="P11" s="10"/>
      <c r="Q11" s="3"/>
      <c r="R11" s="8" t="s">
        <v>90</v>
      </c>
      <c r="S11" s="2" t="s">
        <v>28</v>
      </c>
    </row>
    <row r="12" ht="67.5" customHeight="1">
      <c r="A12" s="2" t="s">
        <v>91</v>
      </c>
      <c r="B12" s="3" t="str">
        <f>IMAGE("https://image.tmdb.org/t/p/w342/tI1534q0Up7PBcLdXdFerLmIXn3.jpg")</f>
        <v/>
      </c>
      <c r="C12" s="2" t="s">
        <v>92</v>
      </c>
      <c r="D12" s="4">
        <v>40998.0</v>
      </c>
      <c r="E12" s="5">
        <v>2012.0</v>
      </c>
      <c r="F12" s="2" t="s">
        <v>21</v>
      </c>
      <c r="G12" s="6"/>
      <c r="H12" s="5">
        <v>80280.0</v>
      </c>
      <c r="I12" s="7">
        <v>5.3</v>
      </c>
      <c r="J12" s="2" t="s">
        <v>93</v>
      </c>
      <c r="K12" s="2" t="s">
        <v>94</v>
      </c>
      <c r="L12" s="8" t="s">
        <v>95</v>
      </c>
      <c r="M12" s="9">
        <v>80.0</v>
      </c>
      <c r="N12" s="2" t="s">
        <v>96</v>
      </c>
      <c r="O12" s="2" t="s">
        <v>26</v>
      </c>
      <c r="P12" s="10"/>
      <c r="Q12" s="3"/>
      <c r="R12" s="8" t="s">
        <v>97</v>
      </c>
      <c r="S12" s="2" t="s">
        <v>28</v>
      </c>
    </row>
    <row r="13" ht="67.5" customHeight="1">
      <c r="A13" s="2" t="s">
        <v>98</v>
      </c>
      <c r="B13" s="3" t="str">
        <f>IMAGE("https://image.tmdb.org/t/p/w342/k3TcTGCgvvvhAiW9pkyWNz9CoNN.jpg")</f>
        <v/>
      </c>
      <c r="C13" s="2" t="s">
        <v>99</v>
      </c>
      <c r="D13" s="4">
        <v>41341.0</v>
      </c>
      <c r="E13" s="5">
        <v>2012.0</v>
      </c>
      <c r="F13" s="2" t="s">
        <v>21</v>
      </c>
      <c r="G13" s="6"/>
      <c r="H13" s="5">
        <v>87436.0</v>
      </c>
      <c r="I13" s="7">
        <v>4.953</v>
      </c>
      <c r="J13" s="2" t="s">
        <v>93</v>
      </c>
      <c r="K13" s="2" t="s">
        <v>100</v>
      </c>
      <c r="L13" s="8" t="s">
        <v>101</v>
      </c>
      <c r="M13" s="9">
        <v>129.0</v>
      </c>
      <c r="N13" s="2" t="s">
        <v>102</v>
      </c>
      <c r="O13" s="2" t="s">
        <v>26</v>
      </c>
      <c r="P13" s="10"/>
      <c r="Q13" s="3"/>
      <c r="R13" s="8" t="s">
        <v>103</v>
      </c>
      <c r="S13" s="2" t="s">
        <v>28</v>
      </c>
    </row>
    <row r="14" ht="67.5" customHeight="1">
      <c r="A14" s="2" t="s">
        <v>104</v>
      </c>
      <c r="B14" s="3" t="str">
        <f>IMAGE("https://image.tmdb.org/t/p/w342/pqiRuETmuSybfnVZ7qyeoXhQyN1.jpg")</f>
        <v/>
      </c>
      <c r="C14" s="2" t="s">
        <v>105</v>
      </c>
      <c r="D14" s="4">
        <v>34369.0</v>
      </c>
      <c r="E14" s="5">
        <v>1994.0</v>
      </c>
      <c r="F14" s="2" t="s">
        <v>31</v>
      </c>
      <c r="G14" s="6"/>
      <c r="H14" s="5">
        <v>3049.0</v>
      </c>
      <c r="I14" s="7">
        <v>6.6</v>
      </c>
      <c r="J14" s="2" t="s">
        <v>106</v>
      </c>
      <c r="K14" s="2" t="s">
        <v>107</v>
      </c>
      <c r="L14" s="8" t="s">
        <v>108</v>
      </c>
      <c r="M14" s="9">
        <v>86.0</v>
      </c>
      <c r="N14" s="2" t="s">
        <v>109</v>
      </c>
      <c r="O14" s="2" t="s">
        <v>56</v>
      </c>
      <c r="P14" s="11">
        <v>5.0</v>
      </c>
      <c r="Q14" s="3"/>
      <c r="R14" s="8" t="s">
        <v>110</v>
      </c>
      <c r="S14" s="2" t="s">
        <v>28</v>
      </c>
    </row>
    <row r="15" ht="67.5" customHeight="1">
      <c r="A15" s="2" t="s">
        <v>111</v>
      </c>
      <c r="B15" s="3" t="str">
        <f>IMAGE("https://image.tmdb.org/t/p/w342/eeSJNAR1aWcgANq26KWIHm3cbyB.jpg")</f>
        <v/>
      </c>
      <c r="C15" s="2" t="s">
        <v>112</v>
      </c>
      <c r="D15" s="4">
        <v>39906.0</v>
      </c>
      <c r="E15" s="5">
        <v>2009.0</v>
      </c>
      <c r="F15" s="2" t="s">
        <v>21</v>
      </c>
      <c r="G15" s="6"/>
      <c r="H15" s="5">
        <v>16614.0</v>
      </c>
      <c r="I15" s="7">
        <v>6.399</v>
      </c>
      <c r="J15" s="2" t="s">
        <v>113</v>
      </c>
      <c r="K15" s="2" t="s">
        <v>114</v>
      </c>
      <c r="L15" s="8" t="s">
        <v>115</v>
      </c>
      <c r="M15" s="9">
        <v>107.0</v>
      </c>
      <c r="N15" s="2" t="s">
        <v>116</v>
      </c>
      <c r="O15" s="2" t="s">
        <v>56</v>
      </c>
      <c r="P15" s="11">
        <v>4.0</v>
      </c>
      <c r="Q15" s="3"/>
      <c r="R15" s="8" t="s">
        <v>117</v>
      </c>
      <c r="S15" s="2" t="s">
        <v>28</v>
      </c>
    </row>
    <row r="16" ht="67.5" customHeight="1">
      <c r="A16" s="2" t="s">
        <v>118</v>
      </c>
      <c r="B16" s="3" t="str">
        <f>IMAGE("https://image.tmdb.org/t/p/w342/pxbAepXQjsGFDHaR3dPndFSxDU0.jpg")</f>
        <v/>
      </c>
      <c r="C16" s="2" t="s">
        <v>119</v>
      </c>
      <c r="D16" s="4">
        <v>41920.0</v>
      </c>
      <c r="E16" s="5">
        <v>2014.0</v>
      </c>
      <c r="F16" s="2" t="s">
        <v>21</v>
      </c>
      <c r="G16" s="6"/>
      <c r="H16" s="5">
        <v>218778.0</v>
      </c>
      <c r="I16" s="7">
        <v>6.2</v>
      </c>
      <c r="J16" s="2" t="s">
        <v>120</v>
      </c>
      <c r="K16" s="2" t="s">
        <v>121</v>
      </c>
      <c r="L16" s="8" t="s">
        <v>122</v>
      </c>
      <c r="M16" s="9">
        <v>81.0</v>
      </c>
      <c r="N16" s="2" t="s">
        <v>123</v>
      </c>
      <c r="O16" s="2" t="s">
        <v>56</v>
      </c>
      <c r="P16" s="10"/>
      <c r="Q16" s="3"/>
      <c r="R16" s="8" t="s">
        <v>124</v>
      </c>
      <c r="S16" s="2" t="s">
        <v>28</v>
      </c>
    </row>
    <row r="17" ht="67.5" customHeight="1">
      <c r="A17" s="2" t="s">
        <v>125</v>
      </c>
      <c r="B17" s="3" t="str">
        <f>IMAGE("https://image.tmdb.org/t/p/w342/bSe8CBqK8HkbP6sqZWzcJfQV9Ci.jpg")</f>
        <v/>
      </c>
      <c r="C17" s="2" t="s">
        <v>126</v>
      </c>
      <c r="D17" s="4">
        <v>41576.0</v>
      </c>
      <c r="E17" s="5">
        <v>2013.0</v>
      </c>
      <c r="F17" s="2" t="s">
        <v>21</v>
      </c>
      <c r="G17" s="6"/>
      <c r="H17" s="5">
        <v>231001.0</v>
      </c>
      <c r="I17" s="7">
        <v>5.652</v>
      </c>
      <c r="J17" s="2" t="s">
        <v>93</v>
      </c>
      <c r="K17" s="2" t="s">
        <v>127</v>
      </c>
      <c r="L17" s="8" t="s">
        <v>128</v>
      </c>
      <c r="M17" s="9">
        <v>82.0</v>
      </c>
      <c r="N17" s="2" t="s">
        <v>129</v>
      </c>
      <c r="O17" s="2" t="s">
        <v>56</v>
      </c>
      <c r="P17" s="11">
        <v>3.0</v>
      </c>
      <c r="Q17" s="3"/>
      <c r="R17" s="8" t="s">
        <v>130</v>
      </c>
      <c r="S17" s="2" t="s">
        <v>28</v>
      </c>
    </row>
    <row r="18" ht="67.5" customHeight="1">
      <c r="A18" s="2" t="s">
        <v>131</v>
      </c>
      <c r="B18" s="3" t="str">
        <f>IMAGE("https://image.tmdb.org/t/p/w342/vJgtfUmZE5i4L12sOryAPuBa04K.jpg")</f>
        <v/>
      </c>
      <c r="C18" s="2" t="s">
        <v>132</v>
      </c>
      <c r="D18" s="4">
        <v>41998.0</v>
      </c>
      <c r="E18" s="5">
        <v>2014.0</v>
      </c>
      <c r="F18" s="2" t="s">
        <v>21</v>
      </c>
      <c r="G18" s="6"/>
      <c r="H18" s="5">
        <v>190859.0</v>
      </c>
      <c r="I18" s="7">
        <v>7.412</v>
      </c>
      <c r="J18" s="2" t="s">
        <v>133</v>
      </c>
      <c r="K18" s="2" t="s">
        <v>134</v>
      </c>
      <c r="L18" s="8" t="s">
        <v>135</v>
      </c>
      <c r="M18" s="9">
        <v>133.0</v>
      </c>
      <c r="N18" s="2" t="s">
        <v>136</v>
      </c>
      <c r="O18" s="2" t="s">
        <v>26</v>
      </c>
      <c r="P18" s="10"/>
      <c r="Q18" s="3"/>
      <c r="R18" s="8" t="s">
        <v>137</v>
      </c>
      <c r="S18" s="2" t="s">
        <v>28</v>
      </c>
    </row>
    <row r="19" ht="67.5" customHeight="1">
      <c r="A19" s="2" t="s">
        <v>138</v>
      </c>
      <c r="B19" s="3" t="str">
        <f>IMAGE("https://image.tmdb.org/t/p/w342/1XosEzjwTxL4NrVhn7ldunA3kfr.jpg")</f>
        <v/>
      </c>
      <c r="C19" s="2" t="s">
        <v>139</v>
      </c>
      <c r="D19" s="4">
        <v>39730.0</v>
      </c>
      <c r="E19" s="5">
        <v>2008.0</v>
      </c>
      <c r="F19" s="2" t="s">
        <v>21</v>
      </c>
      <c r="G19" s="6"/>
      <c r="H19" s="5">
        <v>13803.0</v>
      </c>
      <c r="I19" s="7">
        <v>5.608</v>
      </c>
      <c r="J19" s="2" t="s">
        <v>73</v>
      </c>
      <c r="K19" s="2" t="s">
        <v>140</v>
      </c>
      <c r="L19" s="8" t="s">
        <v>141</v>
      </c>
      <c r="M19" s="9">
        <v>85.0</v>
      </c>
      <c r="N19" s="2" t="s">
        <v>142</v>
      </c>
      <c r="O19" s="2" t="s">
        <v>56</v>
      </c>
      <c r="P19" s="11">
        <v>4.0</v>
      </c>
      <c r="Q19" s="3"/>
      <c r="R19" s="8" t="s">
        <v>143</v>
      </c>
      <c r="S19" s="2" t="s">
        <v>28</v>
      </c>
    </row>
    <row r="20" ht="67.5" customHeight="1">
      <c r="A20" s="2" t="s">
        <v>144</v>
      </c>
      <c r="B20" s="3" t="str">
        <f>IMAGE("https://image.tmdb.org/t/p/w342/BAdmxMdCqzjs6hx3KuEtnoWP8d.jpg")</f>
        <v/>
      </c>
      <c r="C20" s="2" t="s">
        <v>145</v>
      </c>
      <c r="D20" s="4">
        <v>41626.0</v>
      </c>
      <c r="E20" s="5">
        <v>2013.0</v>
      </c>
      <c r="F20" s="2" t="s">
        <v>21</v>
      </c>
      <c r="G20" s="6"/>
      <c r="H20" s="5">
        <v>109443.0</v>
      </c>
      <c r="I20" s="7">
        <v>6.147</v>
      </c>
      <c r="J20" s="2" t="s">
        <v>146</v>
      </c>
      <c r="K20" s="2" t="s">
        <v>147</v>
      </c>
      <c r="L20" s="8" t="s">
        <v>148</v>
      </c>
      <c r="M20" s="9">
        <v>119.0</v>
      </c>
      <c r="N20" s="2" t="s">
        <v>149</v>
      </c>
      <c r="O20" s="2" t="s">
        <v>56</v>
      </c>
      <c r="P20" s="11">
        <v>2.0</v>
      </c>
      <c r="Q20" s="3"/>
      <c r="R20" s="8" t="s">
        <v>150</v>
      </c>
      <c r="S20" s="2" t="s">
        <v>28</v>
      </c>
    </row>
    <row r="21" ht="67.5" customHeight="1">
      <c r="A21" s="2" t="s">
        <v>151</v>
      </c>
      <c r="B21" s="3" t="str">
        <f>IMAGE("https://image.tmdb.org/t/p/w342/yLsuU2P2SpDYFwtZQ7dtfVAf6TE.jpg")</f>
        <v/>
      </c>
      <c r="C21" s="2" t="s">
        <v>152</v>
      </c>
      <c r="D21" s="4">
        <v>41913.0</v>
      </c>
      <c r="E21" s="5">
        <v>2014.0</v>
      </c>
      <c r="F21" s="2" t="s">
        <v>21</v>
      </c>
      <c r="G21" s="6"/>
      <c r="H21" s="5">
        <v>250546.0</v>
      </c>
      <c r="I21" s="7">
        <v>5.79</v>
      </c>
      <c r="J21" s="2" t="s">
        <v>93</v>
      </c>
      <c r="K21" s="2" t="s">
        <v>153</v>
      </c>
      <c r="L21" s="8" t="s">
        <v>154</v>
      </c>
      <c r="M21" s="9">
        <v>99.0</v>
      </c>
      <c r="N21" s="2" t="s">
        <v>155</v>
      </c>
      <c r="O21" s="2" t="s">
        <v>56</v>
      </c>
      <c r="P21" s="11">
        <v>3.0</v>
      </c>
      <c r="Q21" s="3"/>
      <c r="R21" s="8" t="s">
        <v>156</v>
      </c>
      <c r="S21" s="2" t="s">
        <v>28</v>
      </c>
    </row>
    <row r="22" ht="67.5" customHeight="1">
      <c r="A22" s="2" t="s">
        <v>157</v>
      </c>
      <c r="B22" s="3" t="str">
        <f>IMAGE("https://image.tmdb.org/t/p/w342/qWsHMrbg9DsBY3bCMk9jyYCRVRs.jpg")</f>
        <v/>
      </c>
      <c r="C22" s="2" t="s">
        <v>158</v>
      </c>
      <c r="D22" s="4">
        <v>43642.0</v>
      </c>
      <c r="E22" s="5">
        <v>2019.0</v>
      </c>
      <c r="F22" s="2" t="s">
        <v>21</v>
      </c>
      <c r="G22" s="6"/>
      <c r="H22" s="5">
        <v>521029.0</v>
      </c>
      <c r="I22" s="7">
        <v>6.41</v>
      </c>
      <c r="J22" s="2" t="s">
        <v>93</v>
      </c>
      <c r="K22" s="2" t="s">
        <v>159</v>
      </c>
      <c r="L22" s="8" t="s">
        <v>160</v>
      </c>
      <c r="M22" s="9">
        <v>106.0</v>
      </c>
      <c r="N22" s="2" t="s">
        <v>161</v>
      </c>
      <c r="O22" s="2" t="s">
        <v>26</v>
      </c>
      <c r="P22" s="10"/>
      <c r="Q22" s="3"/>
      <c r="R22" s="8" t="s">
        <v>162</v>
      </c>
      <c r="S22" s="2" t="s">
        <v>28</v>
      </c>
    </row>
    <row r="23" ht="67.5" customHeight="1">
      <c r="A23" s="2" t="s">
        <v>163</v>
      </c>
      <c r="B23" s="3" t="str">
        <f>IMAGE("https://image.tmdb.org/t/p/w342/tb86j8jVCVsdZnzf8I6cIi65IeM.jpg")</f>
        <v/>
      </c>
      <c r="C23" s="2" t="s">
        <v>164</v>
      </c>
      <c r="D23" s="4">
        <v>42950.0</v>
      </c>
      <c r="E23" s="5">
        <v>2017.0</v>
      </c>
      <c r="F23" s="2" t="s">
        <v>21</v>
      </c>
      <c r="G23" s="6"/>
      <c r="H23" s="5">
        <v>396422.0</v>
      </c>
      <c r="I23" s="7">
        <v>6.609</v>
      </c>
      <c r="J23" s="2" t="s">
        <v>93</v>
      </c>
      <c r="K23" s="2" t="s">
        <v>165</v>
      </c>
      <c r="L23" s="8" t="s">
        <v>166</v>
      </c>
      <c r="M23" s="9">
        <v>110.0</v>
      </c>
      <c r="N23" s="2" t="s">
        <v>167</v>
      </c>
      <c r="O23" s="2" t="s">
        <v>26</v>
      </c>
      <c r="P23" s="10"/>
      <c r="Q23" s="3"/>
      <c r="R23" s="8" t="s">
        <v>168</v>
      </c>
      <c r="S23" s="2" t="s">
        <v>28</v>
      </c>
    </row>
    <row r="24" ht="67.5" customHeight="1">
      <c r="A24" s="2" t="s">
        <v>169</v>
      </c>
      <c r="B24" s="3" t="str">
        <f>IMAGE("https://image.tmdb.org/t/p/w342/ufl63EFcc5XpByEV2Ecdw6WJZAI.jpg")</f>
        <v/>
      </c>
      <c r="C24" s="2" t="s">
        <v>170</v>
      </c>
      <c r="D24" s="4">
        <v>43441.0</v>
      </c>
      <c r="E24" s="5">
        <v>2018.0</v>
      </c>
      <c r="F24" s="2" t="s">
        <v>21</v>
      </c>
      <c r="G24" s="6"/>
      <c r="H24" s="5">
        <v>297802.0</v>
      </c>
      <c r="I24" s="7">
        <v>6.9</v>
      </c>
      <c r="J24" s="2" t="s">
        <v>171</v>
      </c>
      <c r="K24" s="2" t="s">
        <v>172</v>
      </c>
      <c r="L24" s="8" t="s">
        <v>173</v>
      </c>
      <c r="M24" s="9">
        <v>143.0</v>
      </c>
      <c r="N24" s="2" t="s">
        <v>174</v>
      </c>
      <c r="O24" s="2" t="s">
        <v>26</v>
      </c>
      <c r="P24" s="10"/>
      <c r="Q24" s="3"/>
      <c r="R24" s="8" t="s">
        <v>175</v>
      </c>
      <c r="S24" s="2" t="s">
        <v>28</v>
      </c>
    </row>
    <row r="25" ht="67.5" customHeight="1">
      <c r="A25" s="2" t="s">
        <v>176</v>
      </c>
      <c r="B25" s="3" t="str">
        <f>IMAGE("https://image.tmdb.org/t/p/w342/oJZSajKLJkoTOzSZQN2ZwRnPwHZ.jpg")</f>
        <v/>
      </c>
      <c r="C25" s="2" t="s">
        <v>177</v>
      </c>
      <c r="D25" s="4">
        <v>41865.0</v>
      </c>
      <c r="E25" s="5">
        <v>2014.0</v>
      </c>
      <c r="F25" s="2" t="s">
        <v>21</v>
      </c>
      <c r="G25" s="6"/>
      <c r="H25" s="5">
        <v>256274.0</v>
      </c>
      <c r="I25" s="7">
        <v>6.74</v>
      </c>
      <c r="J25" s="2" t="s">
        <v>39</v>
      </c>
      <c r="K25" s="2" t="s">
        <v>178</v>
      </c>
      <c r="L25" s="8" t="s">
        <v>179</v>
      </c>
      <c r="M25" s="9">
        <v>93.0</v>
      </c>
      <c r="N25" s="2" t="s">
        <v>180</v>
      </c>
      <c r="O25" s="2" t="s">
        <v>56</v>
      </c>
      <c r="P25" s="11">
        <v>4.0</v>
      </c>
      <c r="Q25" s="3"/>
      <c r="R25" s="8" t="s">
        <v>181</v>
      </c>
      <c r="S25" s="2" t="s">
        <v>28</v>
      </c>
    </row>
    <row r="26" ht="67.5" customHeight="1">
      <c r="A26" s="2" t="s">
        <v>182</v>
      </c>
      <c r="B26" s="3" t="str">
        <f>IMAGE("https://image.tmdb.org/t/p/w342/zwGaUMm0wAqi0wkO7LJDlwoA5LP.jpg")</f>
        <v/>
      </c>
      <c r="C26" s="2" t="s">
        <v>183</v>
      </c>
      <c r="D26" s="4">
        <v>36588.0</v>
      </c>
      <c r="E26" s="5">
        <v>1999.0</v>
      </c>
      <c r="F26" s="2" t="s">
        <v>21</v>
      </c>
      <c r="G26" s="6"/>
      <c r="H26" s="5">
        <v>11075.0</v>
      </c>
      <c r="I26" s="7">
        <v>7.1</v>
      </c>
      <c r="J26" s="2" t="s">
        <v>184</v>
      </c>
      <c r="K26" s="2" t="s">
        <v>185</v>
      </c>
      <c r="L26" s="8" t="s">
        <v>186</v>
      </c>
      <c r="M26" s="9">
        <v>115.0</v>
      </c>
      <c r="N26" s="2" t="s">
        <v>187</v>
      </c>
      <c r="O26" s="2" t="s">
        <v>26</v>
      </c>
      <c r="P26" s="10"/>
      <c r="Q26" s="3"/>
      <c r="R26" s="8" t="s">
        <v>188</v>
      </c>
      <c r="S26" s="2" t="s">
        <v>28</v>
      </c>
    </row>
    <row r="27" ht="67.5" customHeight="1">
      <c r="A27" s="2" t="s">
        <v>189</v>
      </c>
      <c r="B27" s="3" t="str">
        <f>IMAGE("https://image.tmdb.org/t/p/w342/6K0wjP8kPCiPYy9PtXBGuypyt5I.jpg")</f>
        <v/>
      </c>
      <c r="C27" s="2" t="s">
        <v>190</v>
      </c>
      <c r="D27" s="4">
        <v>42725.0</v>
      </c>
      <c r="E27" s="5">
        <v>2016.0</v>
      </c>
      <c r="F27" s="2" t="s">
        <v>21</v>
      </c>
      <c r="G27" s="6"/>
      <c r="H27" s="5">
        <v>397243.0</v>
      </c>
      <c r="I27" s="7">
        <v>6.833</v>
      </c>
      <c r="J27" s="2" t="s">
        <v>73</v>
      </c>
      <c r="K27" s="2" t="s">
        <v>191</v>
      </c>
      <c r="L27" s="8" t="s">
        <v>192</v>
      </c>
      <c r="M27" s="9">
        <v>86.0</v>
      </c>
      <c r="N27" s="2" t="s">
        <v>193</v>
      </c>
      <c r="O27" s="2" t="s">
        <v>56</v>
      </c>
      <c r="P27" s="11">
        <v>3.0</v>
      </c>
      <c r="Q27" s="3"/>
      <c r="R27" s="8" t="s">
        <v>194</v>
      </c>
      <c r="S27" s="2" t="s">
        <v>28</v>
      </c>
    </row>
    <row r="28" ht="67.5" customHeight="1">
      <c r="A28" s="2" t="s">
        <v>195</v>
      </c>
      <c r="B28" s="3" t="str">
        <f>IMAGE("https://image.tmdb.org/t/p/w342/dDSMzBEaM0LYSy9Muo0zsCo77Vh.jpg")</f>
        <v/>
      </c>
      <c r="C28" s="2" t="s">
        <v>196</v>
      </c>
      <c r="D28" s="4">
        <v>41569.0</v>
      </c>
      <c r="E28" s="5">
        <v>2013.0</v>
      </c>
      <c r="F28" s="2" t="s">
        <v>21</v>
      </c>
      <c r="G28" s="6"/>
      <c r="H28" s="5">
        <v>208134.0</v>
      </c>
      <c r="I28" s="7">
        <v>6.153</v>
      </c>
      <c r="J28" s="2" t="s">
        <v>146</v>
      </c>
      <c r="K28" s="2" t="s">
        <v>197</v>
      </c>
      <c r="L28" s="8" t="s">
        <v>198</v>
      </c>
      <c r="M28" s="9">
        <v>92.0</v>
      </c>
      <c r="N28" s="2" t="s">
        <v>199</v>
      </c>
      <c r="O28" s="2" t="s">
        <v>56</v>
      </c>
      <c r="P28" s="10"/>
      <c r="Q28" s="3"/>
      <c r="R28" s="8" t="s">
        <v>200</v>
      </c>
      <c r="S28" s="2" t="s">
        <v>28</v>
      </c>
    </row>
    <row r="29" ht="67.5" customHeight="1">
      <c r="A29" s="2" t="s">
        <v>201</v>
      </c>
      <c r="B29" s="3" t="str">
        <f>IMAGE("https://image.tmdb.org/t/p/w342/rfClLIyeHqpMofmrPY8DaLe4z9x.jpg")</f>
        <v/>
      </c>
      <c r="C29" s="2" t="s">
        <v>202</v>
      </c>
      <c r="D29" s="4">
        <v>37951.0</v>
      </c>
      <c r="E29" s="5">
        <v>2003.0</v>
      </c>
      <c r="F29" s="2" t="s">
        <v>21</v>
      </c>
      <c r="G29" s="6"/>
      <c r="H29" s="5">
        <v>10147.0</v>
      </c>
      <c r="I29" s="7">
        <v>6.567</v>
      </c>
      <c r="J29" s="2" t="s">
        <v>203</v>
      </c>
      <c r="K29" s="2" t="s">
        <v>204</v>
      </c>
      <c r="L29" s="8" t="s">
        <v>205</v>
      </c>
      <c r="M29" s="9">
        <v>92.0</v>
      </c>
      <c r="N29" s="2" t="s">
        <v>206</v>
      </c>
      <c r="O29" s="2" t="s">
        <v>56</v>
      </c>
      <c r="P29" s="10"/>
      <c r="Q29" s="3"/>
      <c r="R29" s="8" t="s">
        <v>207</v>
      </c>
      <c r="S29" s="2" t="s">
        <v>28</v>
      </c>
    </row>
    <row r="30" ht="67.5" customHeight="1">
      <c r="A30" s="2" t="s">
        <v>208</v>
      </c>
      <c r="B30" s="3" t="str">
        <f>IMAGE("https://image.tmdb.org/t/p/w342/sPX89Td70IDDjVr85jdSBb4rWGr.jpg")</f>
        <v/>
      </c>
      <c r="C30" s="2" t="s">
        <v>209</v>
      </c>
      <c r="D30" s="4">
        <v>38513.0</v>
      </c>
      <c r="E30" s="5">
        <v>2005.0</v>
      </c>
      <c r="F30" s="2" t="s">
        <v>21</v>
      </c>
      <c r="G30" s="6"/>
      <c r="H30" s="5">
        <v>272.0</v>
      </c>
      <c r="I30" s="7">
        <v>7.7</v>
      </c>
      <c r="J30" s="2" t="s">
        <v>210</v>
      </c>
      <c r="K30" s="2" t="s">
        <v>211</v>
      </c>
      <c r="L30" s="8" t="s">
        <v>212</v>
      </c>
      <c r="M30" s="9">
        <v>140.0</v>
      </c>
      <c r="N30" s="2" t="s">
        <v>213</v>
      </c>
      <c r="O30" s="2" t="s">
        <v>26</v>
      </c>
      <c r="P30" s="10"/>
      <c r="Q30" s="3"/>
      <c r="R30" s="8" t="s">
        <v>214</v>
      </c>
      <c r="S30" s="2" t="s">
        <v>28</v>
      </c>
    </row>
    <row r="31" ht="67.5" customHeight="1">
      <c r="A31" s="2" t="s">
        <v>215</v>
      </c>
      <c r="B31" s="3" t="str">
        <f>IMAGE("https://image.tmdb.org/t/p/w342/aLGKAQKgzWpJ6egyWzzC11jXBRJ.jpg")</f>
        <v/>
      </c>
      <c r="C31" s="2" t="s">
        <v>216</v>
      </c>
      <c r="D31" s="4">
        <v>36876.0</v>
      </c>
      <c r="E31" s="5">
        <v>2000.0</v>
      </c>
      <c r="F31" s="2" t="s">
        <v>21</v>
      </c>
      <c r="G31" s="6"/>
      <c r="H31" s="5">
        <v>3176.0</v>
      </c>
      <c r="I31" s="7">
        <v>7.3</v>
      </c>
      <c r="J31" s="2" t="s">
        <v>217</v>
      </c>
      <c r="K31" s="2" t="s">
        <v>218</v>
      </c>
      <c r="L31" s="8" t="s">
        <v>219</v>
      </c>
      <c r="M31" s="9">
        <v>113.0</v>
      </c>
      <c r="N31" s="2" t="s">
        <v>220</v>
      </c>
      <c r="O31" s="2" t="s">
        <v>221</v>
      </c>
      <c r="P31" s="10"/>
      <c r="Q31" s="3"/>
      <c r="R31" s="8" t="s">
        <v>222</v>
      </c>
      <c r="S31" s="2" t="s">
        <v>28</v>
      </c>
    </row>
    <row r="32" ht="67.5" customHeight="1">
      <c r="A32" s="2" t="s">
        <v>223</v>
      </c>
      <c r="B32" s="3" t="str">
        <f>IMAGE("https://image.tmdb.org/t/p/w342/vie8a3z219Zsw81eAsM58B6VFEn.jpg")</f>
        <v/>
      </c>
      <c r="C32" s="2" t="s">
        <v>224</v>
      </c>
      <c r="D32" s="4">
        <v>38958.0</v>
      </c>
      <c r="E32" s="5">
        <v>2006.0</v>
      </c>
      <c r="F32" s="2" t="s">
        <v>21</v>
      </c>
      <c r="G32" s="6"/>
      <c r="H32" s="5">
        <v>10961.0</v>
      </c>
      <c r="I32" s="7">
        <v>6.5</v>
      </c>
      <c r="J32" s="2" t="s">
        <v>225</v>
      </c>
      <c r="K32" s="2" t="s">
        <v>226</v>
      </c>
      <c r="L32" s="8" t="s">
        <v>227</v>
      </c>
      <c r="M32" s="9">
        <v>91.0</v>
      </c>
      <c r="N32" s="2" t="s">
        <v>228</v>
      </c>
      <c r="O32" s="2" t="s">
        <v>56</v>
      </c>
      <c r="P32" s="11">
        <v>4.0</v>
      </c>
      <c r="Q32" s="3"/>
      <c r="R32" s="8" t="s">
        <v>229</v>
      </c>
      <c r="S32" s="2" t="s">
        <v>28</v>
      </c>
    </row>
    <row r="33" ht="67.5" customHeight="1">
      <c r="A33" s="2" t="s">
        <v>230</v>
      </c>
      <c r="B33" s="3" t="str">
        <f>IMAGE("https://image.tmdb.org/t/p/w342/3bv6WAp6BSxxYvB5ozKFUYuRA8C.jpg")</f>
        <v/>
      </c>
      <c r="C33" s="2" t="s">
        <v>231</v>
      </c>
      <c r="D33" s="4">
        <v>35860.0</v>
      </c>
      <c r="E33" s="5">
        <v>1998.0</v>
      </c>
      <c r="F33" s="2" t="s">
        <v>31</v>
      </c>
      <c r="G33" s="6"/>
      <c r="H33" s="5">
        <v>115.0</v>
      </c>
      <c r="I33" s="7">
        <v>7.839</v>
      </c>
      <c r="J33" s="2" t="s">
        <v>232</v>
      </c>
      <c r="K33" s="2" t="s">
        <v>233</v>
      </c>
      <c r="L33" s="8" t="s">
        <v>234</v>
      </c>
      <c r="M33" s="9">
        <v>117.0</v>
      </c>
      <c r="N33" s="2" t="s">
        <v>235</v>
      </c>
      <c r="O33" s="2" t="s">
        <v>56</v>
      </c>
      <c r="P33" s="11">
        <v>4.0</v>
      </c>
      <c r="Q33" s="3"/>
      <c r="R33" s="8" t="s">
        <v>236</v>
      </c>
      <c r="S33" s="2" t="s">
        <v>28</v>
      </c>
    </row>
    <row r="34" ht="67.5" customHeight="1">
      <c r="A34" s="2" t="s">
        <v>237</v>
      </c>
      <c r="B34" s="3" t="str">
        <f>IMAGE("https://image.tmdb.org/t/p/w342/p9ZUzCyy9wRTDuuQexkQ78R2BgF.jpg")</f>
        <v/>
      </c>
      <c r="C34" s="2" t="s">
        <v>238</v>
      </c>
      <c r="D34" s="4">
        <v>44728.0</v>
      </c>
      <c r="E34" s="5">
        <v>2021.0</v>
      </c>
      <c r="F34" s="2" t="s">
        <v>21</v>
      </c>
      <c r="G34" s="6"/>
      <c r="H34" s="5">
        <v>756999.0</v>
      </c>
      <c r="I34" s="7">
        <v>7.522</v>
      </c>
      <c r="J34" s="2" t="s">
        <v>39</v>
      </c>
      <c r="K34" s="2" t="s">
        <v>239</v>
      </c>
      <c r="L34" s="8" t="s">
        <v>240</v>
      </c>
      <c r="M34" s="9">
        <v>103.0</v>
      </c>
      <c r="N34" s="2" t="s">
        <v>241</v>
      </c>
      <c r="O34" s="2" t="s">
        <v>56</v>
      </c>
      <c r="P34" s="11">
        <v>4.0</v>
      </c>
      <c r="Q34" s="3"/>
      <c r="R34" s="8" t="s">
        <v>242</v>
      </c>
      <c r="S34" s="2" t="s">
        <v>28</v>
      </c>
    </row>
    <row r="35" ht="67.5" customHeight="1">
      <c r="A35" s="2" t="s">
        <v>243</v>
      </c>
      <c r="B35" s="3" t="str">
        <f>IMAGE("https://image.tmdb.org/t/p/w342/gFddBLQ8wj9M9O82iPzgX5KVNHz.jpg")</f>
        <v/>
      </c>
      <c r="C35" s="2" t="s">
        <v>244</v>
      </c>
      <c r="D35" s="4">
        <v>45945.0</v>
      </c>
      <c r="E35" s="5">
        <v>2025.0</v>
      </c>
      <c r="F35" s="2" t="s">
        <v>31</v>
      </c>
      <c r="G35" s="6"/>
      <c r="H35" s="5">
        <v>1197137.0</v>
      </c>
      <c r="I35" s="7">
        <v>6.712</v>
      </c>
      <c r="J35" s="2" t="s">
        <v>39</v>
      </c>
      <c r="K35" s="2" t="s">
        <v>245</v>
      </c>
      <c r="L35" s="8" t="s">
        <v>246</v>
      </c>
      <c r="M35" s="9">
        <v>114.0</v>
      </c>
      <c r="N35" s="2" t="s">
        <v>247</v>
      </c>
      <c r="O35" s="2" t="s">
        <v>56</v>
      </c>
      <c r="P35" s="11">
        <v>3.0</v>
      </c>
      <c r="Q35" s="3"/>
      <c r="R35" s="8" t="s">
        <v>248</v>
      </c>
      <c r="S35" s="2" t="s">
        <v>28</v>
      </c>
    </row>
    <row r="36" ht="67.5" customHeight="1">
      <c r="A36" s="2" t="s">
        <v>249</v>
      </c>
      <c r="B36" s="3" t="str">
        <f>IMAGE("https://image.tmdb.org/t/p/w342/b6Spp82Tg8rv4YUSHGWFqFbgp0q.jpg")</f>
        <v/>
      </c>
      <c r="C36" s="2" t="s">
        <v>250</v>
      </c>
      <c r="D36" s="4">
        <v>38970.0</v>
      </c>
      <c r="E36" s="5">
        <v>2006.0</v>
      </c>
      <c r="F36" s="2" t="s">
        <v>31</v>
      </c>
      <c r="G36" s="6"/>
      <c r="H36" s="5">
        <v>3603.0</v>
      </c>
      <c r="I36" s="7">
        <v>5.772</v>
      </c>
      <c r="J36" s="2" t="s">
        <v>251</v>
      </c>
      <c r="K36" s="2" t="s">
        <v>252</v>
      </c>
      <c r="L36" s="8" t="s">
        <v>253</v>
      </c>
      <c r="M36" s="9">
        <v>86.0</v>
      </c>
      <c r="N36" s="2" t="s">
        <v>254</v>
      </c>
      <c r="O36" s="2" t="s">
        <v>56</v>
      </c>
      <c r="P36" s="11">
        <v>4.0</v>
      </c>
      <c r="Q36" s="3"/>
      <c r="R36" s="8" t="s">
        <v>255</v>
      </c>
      <c r="S36" s="2" t="s">
        <v>28</v>
      </c>
    </row>
    <row r="37" ht="67.5" customHeight="1">
      <c r="A37" s="2" t="s">
        <v>256</v>
      </c>
      <c r="B37" s="3" t="str">
        <f>IMAGE("https://image.tmdb.org/t/p/w342/gajva2L0rPYkEWjzgFlBXCAVBE5.jpg")</f>
        <v/>
      </c>
      <c r="C37" s="2" t="s">
        <v>257</v>
      </c>
      <c r="D37" s="4">
        <v>43012.0</v>
      </c>
      <c r="E37" s="5">
        <v>2017.0</v>
      </c>
      <c r="F37" s="2" t="s">
        <v>31</v>
      </c>
      <c r="G37" s="6"/>
      <c r="H37" s="5">
        <v>335984.0</v>
      </c>
      <c r="I37" s="7">
        <v>7.594</v>
      </c>
      <c r="J37" s="2" t="s">
        <v>258</v>
      </c>
      <c r="K37" s="2" t="s">
        <v>259</v>
      </c>
      <c r="L37" s="8" t="s">
        <v>260</v>
      </c>
      <c r="M37" s="9">
        <v>164.0</v>
      </c>
      <c r="N37" s="2" t="s">
        <v>261</v>
      </c>
      <c r="O37" s="2" t="s">
        <v>26</v>
      </c>
      <c r="P37" s="10"/>
      <c r="Q37" s="3"/>
      <c r="R37" s="8" t="s">
        <v>262</v>
      </c>
      <c r="S37" s="2" t="s">
        <v>28</v>
      </c>
    </row>
    <row r="38" ht="67.5" customHeight="1">
      <c r="A38" s="2" t="s">
        <v>263</v>
      </c>
      <c r="B38" s="3" t="str">
        <f>IMAGE("https://image.tmdb.org/t/p/w342/v7x4P33lZwstVgxlZGze18hBlD.jpg")</f>
        <v/>
      </c>
      <c r="C38" s="2" t="s">
        <v>264</v>
      </c>
      <c r="D38" s="4">
        <v>43329.0</v>
      </c>
      <c r="E38" s="5">
        <v>2018.0</v>
      </c>
      <c r="F38" s="2" t="s">
        <v>21</v>
      </c>
      <c r="G38" s="6"/>
      <c r="H38" s="5">
        <v>472226.0</v>
      </c>
      <c r="I38" s="7">
        <v>5.363</v>
      </c>
      <c r="J38" s="2" t="s">
        <v>265</v>
      </c>
      <c r="K38" s="2" t="s">
        <v>266</v>
      </c>
      <c r="L38" s="8" t="s">
        <v>267</v>
      </c>
      <c r="M38" s="9">
        <v>93.0</v>
      </c>
      <c r="N38" s="2" t="s">
        <v>268</v>
      </c>
      <c r="O38" s="2" t="s">
        <v>56</v>
      </c>
      <c r="P38" s="11">
        <v>5.0</v>
      </c>
      <c r="Q38" s="3"/>
      <c r="R38" s="8" t="s">
        <v>269</v>
      </c>
      <c r="S38" s="2" t="s">
        <v>28</v>
      </c>
    </row>
    <row r="39" ht="67.5" customHeight="1">
      <c r="A39" s="2" t="s">
        <v>270</v>
      </c>
      <c r="B39" s="3"/>
      <c r="C39" s="2" t="s">
        <v>271</v>
      </c>
      <c r="D39" s="12"/>
      <c r="E39" s="5">
        <v>2017.0</v>
      </c>
      <c r="F39" s="2" t="s">
        <v>31</v>
      </c>
      <c r="G39" s="6"/>
      <c r="H39" s="3"/>
      <c r="I39" s="13"/>
      <c r="J39" s="3"/>
      <c r="K39" s="3"/>
      <c r="L39" s="3"/>
      <c r="M39" s="14"/>
      <c r="N39" s="3"/>
      <c r="O39" s="2" t="s">
        <v>26</v>
      </c>
      <c r="P39" s="10"/>
      <c r="Q39" s="3"/>
      <c r="R39" s="3"/>
      <c r="S39" s="2" t="s">
        <v>272</v>
      </c>
    </row>
    <row r="40" ht="67.5" customHeight="1">
      <c r="A40" s="2" t="s">
        <v>273</v>
      </c>
      <c r="B40" s="3" t="str">
        <f>IMAGE("https://image.tmdb.org/t/p/w342/wnE24UPCPQsQnbBOu4zVE2qaDNm.jpg")</f>
        <v/>
      </c>
      <c r="C40" s="2" t="s">
        <v>274</v>
      </c>
      <c r="D40" s="4">
        <v>35710.0</v>
      </c>
      <c r="E40" s="5">
        <v>1997.0</v>
      </c>
      <c r="F40" s="2" t="s">
        <v>31</v>
      </c>
      <c r="G40" s="6"/>
      <c r="H40" s="5">
        <v>4995.0</v>
      </c>
      <c r="I40" s="7">
        <v>7.6</v>
      </c>
      <c r="J40" s="2" t="s">
        <v>275</v>
      </c>
      <c r="K40" s="2" t="s">
        <v>276</v>
      </c>
      <c r="L40" s="8" t="s">
        <v>277</v>
      </c>
      <c r="M40" s="9">
        <v>156.0</v>
      </c>
      <c r="N40" s="2" t="s">
        <v>278</v>
      </c>
      <c r="O40" s="2" t="s">
        <v>56</v>
      </c>
      <c r="P40" s="11">
        <v>4.0</v>
      </c>
      <c r="Q40" s="3"/>
      <c r="R40" s="8" t="s">
        <v>279</v>
      </c>
      <c r="S40" s="2" t="s">
        <v>28</v>
      </c>
    </row>
    <row r="41" ht="67.5" customHeight="1">
      <c r="A41" s="2" t="s">
        <v>280</v>
      </c>
      <c r="B41" s="3" t="str">
        <f>IMAGE("https://image.tmdb.org/t/p/w342/kfkyALfD4G1mlBJI1lOt2QCra4i.jpg")</f>
        <v/>
      </c>
      <c r="C41" s="2" t="s">
        <v>281</v>
      </c>
      <c r="D41" s="4">
        <v>39022.0</v>
      </c>
      <c r="E41" s="5">
        <v>2006.0</v>
      </c>
      <c r="F41" s="2" t="s">
        <v>21</v>
      </c>
      <c r="G41" s="6"/>
      <c r="H41" s="5">
        <v>496.0</v>
      </c>
      <c r="I41" s="7">
        <v>6.785</v>
      </c>
      <c r="J41" s="2" t="s">
        <v>146</v>
      </c>
      <c r="K41" s="2" t="s">
        <v>282</v>
      </c>
      <c r="L41" s="8" t="s">
        <v>283</v>
      </c>
      <c r="M41" s="9">
        <v>84.0</v>
      </c>
      <c r="N41" s="2" t="s">
        <v>284</v>
      </c>
      <c r="O41" s="2" t="s">
        <v>56</v>
      </c>
      <c r="P41" s="11">
        <v>4.0</v>
      </c>
      <c r="Q41" s="3"/>
      <c r="R41" s="8" t="s">
        <v>285</v>
      </c>
      <c r="S41" s="2" t="s">
        <v>28</v>
      </c>
    </row>
    <row r="42" ht="67.5" customHeight="1">
      <c r="A42" s="2" t="s">
        <v>286</v>
      </c>
      <c r="B42" s="3" t="str">
        <f>IMAGE("https://image.tmdb.org/t/p/w342/aP8swke3gmowbkfZ6lmNidu0y9p.jpg")</f>
        <v/>
      </c>
      <c r="C42" s="2" t="s">
        <v>287</v>
      </c>
      <c r="D42" s="4">
        <v>37421.0</v>
      </c>
      <c r="E42" s="5">
        <v>2002.0</v>
      </c>
      <c r="F42" s="2" t="s">
        <v>21</v>
      </c>
      <c r="G42" s="6"/>
      <c r="H42" s="5">
        <v>2501.0</v>
      </c>
      <c r="I42" s="7">
        <v>7.5</v>
      </c>
      <c r="J42" s="2" t="s">
        <v>288</v>
      </c>
      <c r="K42" s="2" t="s">
        <v>289</v>
      </c>
      <c r="L42" s="8" t="s">
        <v>290</v>
      </c>
      <c r="M42" s="9">
        <v>119.0</v>
      </c>
      <c r="N42" s="2" t="s">
        <v>291</v>
      </c>
      <c r="O42" s="2" t="s">
        <v>26</v>
      </c>
      <c r="P42" s="10"/>
      <c r="Q42" s="3"/>
      <c r="R42" s="8" t="s">
        <v>292</v>
      </c>
      <c r="S42" s="2" t="s">
        <v>28</v>
      </c>
    </row>
    <row r="43" ht="67.5" customHeight="1">
      <c r="A43" s="2" t="s">
        <v>293</v>
      </c>
      <c r="B43" s="3" t="str">
        <f>IMAGE("https://image.tmdb.org/t/p/w342/yaIPNOcC7ZRuwH3maNwP9qzIo5G.jpg")</f>
        <v/>
      </c>
      <c r="C43" s="2" t="s">
        <v>294</v>
      </c>
      <c r="D43" s="4">
        <v>36083.0</v>
      </c>
      <c r="E43" s="5">
        <v>1998.0</v>
      </c>
      <c r="F43" s="2" t="s">
        <v>21</v>
      </c>
      <c r="G43" s="6"/>
      <c r="H43" s="5">
        <v>11932.0</v>
      </c>
      <c r="I43" s="7">
        <v>6.1</v>
      </c>
      <c r="J43" s="2" t="s">
        <v>251</v>
      </c>
      <c r="K43" s="2" t="s">
        <v>295</v>
      </c>
      <c r="L43" s="8" t="s">
        <v>296</v>
      </c>
      <c r="M43" s="9">
        <v>89.0</v>
      </c>
      <c r="N43" s="2" t="s">
        <v>297</v>
      </c>
      <c r="O43" s="2" t="s">
        <v>56</v>
      </c>
      <c r="P43" s="10"/>
      <c r="Q43" s="3"/>
      <c r="R43" s="8" t="s">
        <v>298</v>
      </c>
      <c r="S43" s="2" t="s">
        <v>28</v>
      </c>
    </row>
    <row r="44" ht="67.5" customHeight="1">
      <c r="A44" s="2" t="s">
        <v>299</v>
      </c>
      <c r="B44" s="3" t="str">
        <f>IMAGE("https://image.tmdb.org/t/p/w342/wcUc7TYtsb72dHVb51sYaGIvQsr.jpg")</f>
        <v/>
      </c>
      <c r="C44" s="2" t="s">
        <v>300</v>
      </c>
      <c r="D44" s="4">
        <v>40002.0</v>
      </c>
      <c r="E44" s="5">
        <v>2009.0</v>
      </c>
      <c r="F44" s="2" t="s">
        <v>21</v>
      </c>
      <c r="G44" s="6"/>
      <c r="H44" s="5">
        <v>18480.0</v>
      </c>
      <c r="I44" s="7">
        <v>5.637</v>
      </c>
      <c r="J44" s="2" t="s">
        <v>146</v>
      </c>
      <c r="K44" s="2" t="s">
        <v>301</v>
      </c>
      <c r="L44" s="8" t="s">
        <v>302</v>
      </c>
      <c r="M44" s="9">
        <v>83.0</v>
      </c>
      <c r="N44" s="2" t="s">
        <v>303</v>
      </c>
      <c r="O44" s="2" t="s">
        <v>56</v>
      </c>
      <c r="P44" s="10"/>
      <c r="Q44" s="3"/>
      <c r="R44" s="8" t="s">
        <v>304</v>
      </c>
      <c r="S44" s="2" t="s">
        <v>28</v>
      </c>
    </row>
    <row r="45" ht="67.5" customHeight="1">
      <c r="A45" s="2" t="s">
        <v>305</v>
      </c>
      <c r="B45" s="3" t="str">
        <f>IMAGE("https://image.tmdb.org/t/p/w342/oxgsAQDAAxA92mFGYCZllgWkH9J.jpg")</f>
        <v/>
      </c>
      <c r="C45" s="2" t="s">
        <v>306</v>
      </c>
      <c r="D45" s="4">
        <v>45953.0</v>
      </c>
      <c r="E45" s="5">
        <v>2025.0</v>
      </c>
      <c r="F45" s="2" t="s">
        <v>31</v>
      </c>
      <c r="G45" s="6"/>
      <c r="H45" s="5">
        <v>701387.0</v>
      </c>
      <c r="I45" s="7">
        <v>7.3</v>
      </c>
      <c r="J45" s="2" t="s">
        <v>307</v>
      </c>
      <c r="K45" s="2" t="s">
        <v>308</v>
      </c>
      <c r="L45" s="8" t="s">
        <v>309</v>
      </c>
      <c r="M45" s="9">
        <v>119.0</v>
      </c>
      <c r="N45" s="2" t="s">
        <v>310</v>
      </c>
      <c r="O45" s="2" t="s">
        <v>26</v>
      </c>
      <c r="P45" s="10"/>
      <c r="Q45" s="3"/>
      <c r="R45" s="8" t="s">
        <v>311</v>
      </c>
      <c r="S45" s="2" t="s">
        <v>28</v>
      </c>
    </row>
    <row r="46" ht="67.5" customHeight="1">
      <c r="A46" s="2" t="s">
        <v>312</v>
      </c>
      <c r="B46" s="3" t="str">
        <f>IMAGE("https://image.tmdb.org/t/p/w342/vaUkSL7PbeeKfdFKOh9TYR9M1ds.jpg")</f>
        <v/>
      </c>
      <c r="C46" s="2" t="s">
        <v>313</v>
      </c>
      <c r="D46" s="4">
        <v>37848.0</v>
      </c>
      <c r="E46" s="5">
        <v>2002.0</v>
      </c>
      <c r="F46" s="2" t="s">
        <v>21</v>
      </c>
      <c r="G46" s="6"/>
      <c r="H46" s="5">
        <v>11547.0</v>
      </c>
      <c r="I46" s="7">
        <v>5.689</v>
      </c>
      <c r="J46" s="2" t="s">
        <v>93</v>
      </c>
      <c r="K46" s="2" t="s">
        <v>314</v>
      </c>
      <c r="L46" s="8" t="s">
        <v>315</v>
      </c>
      <c r="M46" s="9">
        <v>93.0</v>
      </c>
      <c r="N46" s="2" t="s">
        <v>316</v>
      </c>
      <c r="O46" s="2" t="s">
        <v>56</v>
      </c>
      <c r="P46" s="11">
        <v>3.0</v>
      </c>
      <c r="Q46" s="3"/>
      <c r="R46" s="8" t="s">
        <v>317</v>
      </c>
      <c r="S46" s="2" t="s">
        <v>28</v>
      </c>
    </row>
    <row r="47" ht="67.5" customHeight="1">
      <c r="A47" s="2" t="s">
        <v>318</v>
      </c>
      <c r="B47" s="3" t="str">
        <f>IMAGE("https://image.tmdb.org/t/p/w342/zZZe5wn0udlhMtdlDjN4NB72R6e.jpg")</f>
        <v/>
      </c>
      <c r="C47" s="2" t="s">
        <v>319</v>
      </c>
      <c r="D47" s="4">
        <v>41011.0</v>
      </c>
      <c r="E47" s="5">
        <v>2011.0</v>
      </c>
      <c r="F47" s="2" t="s">
        <v>21</v>
      </c>
      <c r="G47" s="6"/>
      <c r="H47" s="5">
        <v>22970.0</v>
      </c>
      <c r="I47" s="7">
        <v>6.648</v>
      </c>
      <c r="J47" s="2" t="s">
        <v>320</v>
      </c>
      <c r="K47" s="2" t="s">
        <v>321</v>
      </c>
      <c r="L47" s="8" t="s">
        <v>322</v>
      </c>
      <c r="M47" s="9">
        <v>95.0</v>
      </c>
      <c r="N47" s="2" t="s">
        <v>323</v>
      </c>
      <c r="O47" s="2" t="s">
        <v>56</v>
      </c>
      <c r="P47" s="11">
        <v>5.0</v>
      </c>
      <c r="Q47" s="3"/>
      <c r="R47" s="8" t="s">
        <v>324</v>
      </c>
      <c r="S47" s="2" t="s">
        <v>28</v>
      </c>
    </row>
    <row r="48" ht="67.5" customHeight="1">
      <c r="A48" s="2" t="s">
        <v>325</v>
      </c>
      <c r="B48" s="3" t="str">
        <f>IMAGE("https://image.tmdb.org/t/p/w342/jMWjJ13sFTT07DwjNlqh8VY4sK6.jpg")</f>
        <v/>
      </c>
      <c r="C48" s="2" t="s">
        <v>326</v>
      </c>
      <c r="D48" s="4">
        <v>41130.0</v>
      </c>
      <c r="E48" s="5">
        <v>2012.0</v>
      </c>
      <c r="F48" s="2" t="s">
        <v>21</v>
      </c>
      <c r="G48" s="6"/>
      <c r="H48" s="5">
        <v>77953.0</v>
      </c>
      <c r="I48" s="7">
        <v>5.839</v>
      </c>
      <c r="J48" s="2" t="s">
        <v>146</v>
      </c>
      <c r="K48" s="2" t="s">
        <v>327</v>
      </c>
      <c r="L48" s="8" t="s">
        <v>328</v>
      </c>
      <c r="M48" s="9">
        <v>85.0</v>
      </c>
      <c r="N48" s="2" t="s">
        <v>329</v>
      </c>
      <c r="O48" s="2" t="s">
        <v>56</v>
      </c>
      <c r="P48" s="11">
        <v>2.0</v>
      </c>
      <c r="Q48" s="3"/>
      <c r="R48" s="8" t="s">
        <v>330</v>
      </c>
      <c r="S48" s="2" t="s">
        <v>28</v>
      </c>
    </row>
    <row r="49" ht="67.5" customHeight="1">
      <c r="A49" s="2" t="s">
        <v>331</v>
      </c>
      <c r="B49" s="3" t="str">
        <f>IMAGE("https://image.tmdb.org/t/p/w342/otxZzMh53TsN7yYFqSZ3rwH1yMd.jpg")</f>
        <v/>
      </c>
      <c r="C49" s="2" t="s">
        <v>332</v>
      </c>
      <c r="D49" s="4">
        <v>29258.0</v>
      </c>
      <c r="E49" s="5">
        <v>1980.0</v>
      </c>
      <c r="F49" s="2" t="s">
        <v>21</v>
      </c>
      <c r="G49" s="6"/>
      <c r="H49" s="5">
        <v>8689.0</v>
      </c>
      <c r="I49" s="7">
        <v>6.264</v>
      </c>
      <c r="J49" s="2" t="s">
        <v>93</v>
      </c>
      <c r="K49" s="2" t="s">
        <v>333</v>
      </c>
      <c r="L49" s="8" t="s">
        <v>334</v>
      </c>
      <c r="M49" s="9">
        <v>95.0</v>
      </c>
      <c r="N49" s="2" t="s">
        <v>335</v>
      </c>
      <c r="O49" s="2" t="s">
        <v>56</v>
      </c>
      <c r="P49" s="11">
        <v>1.0</v>
      </c>
      <c r="Q49" s="3"/>
      <c r="R49" s="8" t="s">
        <v>336</v>
      </c>
      <c r="S49" s="2" t="s">
        <v>28</v>
      </c>
    </row>
    <row r="50" ht="67.5" customHeight="1">
      <c r="A50" s="2" t="s">
        <v>337</v>
      </c>
      <c r="B50" s="3" t="str">
        <f>IMAGE("https://image.tmdb.org/t/p/w342/nbug05AceVU8PMXIONDFxMRtq54.jpg")</f>
        <v/>
      </c>
      <c r="C50" s="2" t="s">
        <v>338</v>
      </c>
      <c r="D50" s="4">
        <v>44489.0</v>
      </c>
      <c r="E50" s="5">
        <v>2020.0</v>
      </c>
      <c r="F50" s="2" t="s">
        <v>21</v>
      </c>
      <c r="G50" s="6"/>
      <c r="H50" s="5">
        <v>744746.0</v>
      </c>
      <c r="I50" s="7">
        <v>6.355</v>
      </c>
      <c r="J50" s="2" t="s">
        <v>73</v>
      </c>
      <c r="K50" s="2" t="s">
        <v>339</v>
      </c>
      <c r="L50" s="8" t="s">
        <v>340</v>
      </c>
      <c r="M50" s="9">
        <v>88.0</v>
      </c>
      <c r="N50" s="2" t="s">
        <v>341</v>
      </c>
      <c r="O50" s="2" t="s">
        <v>26</v>
      </c>
      <c r="P50" s="10"/>
      <c r="Q50" s="3"/>
      <c r="R50" s="8" t="s">
        <v>342</v>
      </c>
      <c r="S50" s="2" t="s">
        <v>28</v>
      </c>
    </row>
    <row r="51" ht="67.5" customHeight="1">
      <c r="A51" s="2" t="s">
        <v>343</v>
      </c>
      <c r="B51" s="3" t="str">
        <f>IMAGE("https://image.tmdb.org/t/p/w342/wvpgvcWNkF2HLuTEMIM7K83MvZ.jpg")</f>
        <v/>
      </c>
      <c r="C51" s="2" t="s">
        <v>344</v>
      </c>
      <c r="D51" s="4">
        <v>32456.0</v>
      </c>
      <c r="E51" s="5">
        <v>1988.0</v>
      </c>
      <c r="F51" s="2" t="s">
        <v>21</v>
      </c>
      <c r="G51" s="6"/>
      <c r="H51" s="5">
        <v>10585.0</v>
      </c>
      <c r="I51" s="7">
        <v>6.747</v>
      </c>
      <c r="J51" s="2" t="s">
        <v>93</v>
      </c>
      <c r="K51" s="2" t="s">
        <v>345</v>
      </c>
      <c r="L51" s="8" t="s">
        <v>346</v>
      </c>
      <c r="M51" s="9">
        <v>87.0</v>
      </c>
      <c r="N51" s="2" t="s">
        <v>347</v>
      </c>
      <c r="O51" s="2" t="s">
        <v>56</v>
      </c>
      <c r="P51" s="11">
        <v>5.0</v>
      </c>
      <c r="Q51" s="3"/>
      <c r="R51" s="8" t="s">
        <v>348</v>
      </c>
      <c r="S51" s="2" t="s">
        <v>28</v>
      </c>
    </row>
    <row r="52" ht="67.5" customHeight="1">
      <c r="A52" s="2" t="s">
        <v>349</v>
      </c>
      <c r="B52" s="3" t="str">
        <f>IMAGE("https://image.tmdb.org/t/p/w342/2tPQbPQeHEYAGoXFSW61IWNmoce.jpg")</f>
        <v/>
      </c>
      <c r="C52" s="2" t="s">
        <v>350</v>
      </c>
      <c r="D52" s="4">
        <v>33186.0</v>
      </c>
      <c r="E52" s="5">
        <v>1990.0</v>
      </c>
      <c r="F52" s="2" t="s">
        <v>21</v>
      </c>
      <c r="G52" s="6"/>
      <c r="H52" s="5">
        <v>11186.0</v>
      </c>
      <c r="I52" s="7">
        <v>6.365</v>
      </c>
      <c r="J52" s="2" t="s">
        <v>93</v>
      </c>
      <c r="K52" s="2" t="s">
        <v>351</v>
      </c>
      <c r="L52" s="8" t="s">
        <v>352</v>
      </c>
      <c r="M52" s="9">
        <v>84.0</v>
      </c>
      <c r="N52" s="2" t="s">
        <v>353</v>
      </c>
      <c r="O52" s="2" t="s">
        <v>56</v>
      </c>
      <c r="P52" s="11">
        <v>4.0</v>
      </c>
      <c r="Q52" s="3"/>
      <c r="R52" s="8" t="s">
        <v>354</v>
      </c>
      <c r="S52" s="2" t="s">
        <v>28</v>
      </c>
    </row>
    <row r="53" ht="67.5" customHeight="1">
      <c r="A53" s="2" t="s">
        <v>355</v>
      </c>
      <c r="B53" s="3" t="str">
        <f>IMAGE("https://image.tmdb.org/t/p/w342/6toMk9OCuDYEEf733Bzlq3yiw3z.jpg")</f>
        <v/>
      </c>
      <c r="C53" s="2" t="s">
        <v>356</v>
      </c>
      <c r="D53" s="4">
        <v>33480.0</v>
      </c>
      <c r="E53" s="5">
        <v>1991.0</v>
      </c>
      <c r="F53" s="2" t="s">
        <v>21</v>
      </c>
      <c r="G53" s="6"/>
      <c r="H53" s="5">
        <v>11187.0</v>
      </c>
      <c r="I53" s="7">
        <v>5.907</v>
      </c>
      <c r="J53" s="2" t="s">
        <v>39</v>
      </c>
      <c r="K53" s="2" t="s">
        <v>357</v>
      </c>
      <c r="L53" s="8" t="s">
        <v>358</v>
      </c>
      <c r="M53" s="9">
        <v>90.0</v>
      </c>
      <c r="N53" s="2" t="s">
        <v>359</v>
      </c>
      <c r="O53" s="2" t="s">
        <v>56</v>
      </c>
      <c r="P53" s="11">
        <v>4.0</v>
      </c>
      <c r="Q53" s="3"/>
      <c r="R53" s="8" t="s">
        <v>360</v>
      </c>
      <c r="S53" s="2" t="s">
        <v>28</v>
      </c>
    </row>
    <row r="54" ht="67.5" customHeight="1">
      <c r="A54" s="2" t="s">
        <v>361</v>
      </c>
      <c r="B54" s="3" t="str">
        <f>IMAGE("https://image.tmdb.org/t/p/w342/4sHeTAp65WrSSuc05nRBKddhBxO.jpg")</f>
        <v/>
      </c>
      <c r="C54" s="2" t="s">
        <v>362</v>
      </c>
      <c r="D54" s="4">
        <v>26234.0</v>
      </c>
      <c r="E54" s="5">
        <v>1971.0</v>
      </c>
      <c r="F54" s="2" t="s">
        <v>21</v>
      </c>
      <c r="G54" s="6"/>
      <c r="H54" s="5">
        <v>185.0</v>
      </c>
      <c r="I54" s="7">
        <v>8.2</v>
      </c>
      <c r="J54" s="2" t="s">
        <v>363</v>
      </c>
      <c r="K54" s="2" t="s">
        <v>364</v>
      </c>
      <c r="L54" s="8" t="s">
        <v>365</v>
      </c>
      <c r="M54" s="9">
        <v>137.0</v>
      </c>
      <c r="N54" s="2" t="s">
        <v>366</v>
      </c>
      <c r="O54" s="2" t="s">
        <v>26</v>
      </c>
      <c r="P54" s="10"/>
      <c r="Q54" s="3"/>
      <c r="R54" s="8" t="s">
        <v>367</v>
      </c>
      <c r="S54" s="2" t="s">
        <v>28</v>
      </c>
    </row>
    <row r="55" ht="67.5" customHeight="1">
      <c r="A55" s="2" t="s">
        <v>368</v>
      </c>
      <c r="B55" s="3" t="str">
        <f>IMAGE("https://image.tmdb.org/t/p/w342/yaPx3cK9zGFX3SbcKwxWM1QIbUh.jpg")</f>
        <v/>
      </c>
      <c r="C55" s="2" t="s">
        <v>369</v>
      </c>
      <c r="D55" s="4">
        <v>28473.0</v>
      </c>
      <c r="E55" s="5">
        <v>1977.0</v>
      </c>
      <c r="F55" s="2" t="s">
        <v>21</v>
      </c>
      <c r="G55" s="6"/>
      <c r="H55" s="5">
        <v>840.0</v>
      </c>
      <c r="I55" s="7">
        <v>7.35</v>
      </c>
      <c r="J55" s="2" t="s">
        <v>258</v>
      </c>
      <c r="K55" s="2" t="s">
        <v>370</v>
      </c>
      <c r="L55" s="8" t="s">
        <v>371</v>
      </c>
      <c r="M55" s="9">
        <v>137.0</v>
      </c>
      <c r="N55" s="2" t="s">
        <v>372</v>
      </c>
      <c r="O55" s="2" t="s">
        <v>26</v>
      </c>
      <c r="P55" s="10"/>
      <c r="Q55" s="3"/>
      <c r="R55" s="8" t="s">
        <v>373</v>
      </c>
      <c r="S55" s="2" t="s">
        <v>28</v>
      </c>
    </row>
    <row r="56" ht="67.5" customHeight="1">
      <c r="A56" s="2" t="s">
        <v>374</v>
      </c>
      <c r="B56" s="3" t="str">
        <f>IMAGE("https://image.tmdb.org/t/p/w342/r8S7cc676EfgfUDVQKPrqRlbRFz.jpg")</f>
        <v/>
      </c>
      <c r="C56" s="2" t="s">
        <v>375</v>
      </c>
      <c r="D56" s="4">
        <v>45260.0</v>
      </c>
      <c r="E56" s="5">
        <v>2022.0</v>
      </c>
      <c r="F56" s="2" t="s">
        <v>21</v>
      </c>
      <c r="G56" s="6"/>
      <c r="H56" s="5">
        <v>1056380.0</v>
      </c>
      <c r="I56" s="7">
        <v>6.868</v>
      </c>
      <c r="J56" s="2" t="s">
        <v>376</v>
      </c>
      <c r="K56" s="2" t="s">
        <v>377</v>
      </c>
      <c r="L56" s="8" t="s">
        <v>378</v>
      </c>
      <c r="M56" s="9">
        <v>91.0</v>
      </c>
      <c r="N56" s="2" t="s">
        <v>379</v>
      </c>
      <c r="O56" s="2" t="s">
        <v>56</v>
      </c>
      <c r="P56" s="11">
        <v>5.0</v>
      </c>
      <c r="Q56" s="3"/>
      <c r="R56" s="8" t="s">
        <v>380</v>
      </c>
      <c r="S56" s="2" t="s">
        <v>28</v>
      </c>
    </row>
    <row r="57" ht="67.5" customHeight="1">
      <c r="A57" s="2" t="s">
        <v>381</v>
      </c>
      <c r="B57" s="3" t="str">
        <f>IMAGE("https://image.tmdb.org/t/p/w342/ezUtb9m5DeLwL2gxi4gktzNCvQv.jpg")</f>
        <v/>
      </c>
      <c r="C57" s="2" t="s">
        <v>382</v>
      </c>
      <c r="D57" s="4">
        <v>41735.0</v>
      </c>
      <c r="E57" s="5">
        <v>2013.0</v>
      </c>
      <c r="F57" s="2" t="s">
        <v>21</v>
      </c>
      <c r="G57" s="6"/>
      <c r="H57" s="5">
        <v>220289.0</v>
      </c>
      <c r="I57" s="7">
        <v>7.214</v>
      </c>
      <c r="J57" s="2" t="s">
        <v>383</v>
      </c>
      <c r="K57" s="2" t="s">
        <v>384</v>
      </c>
      <c r="L57" s="8" t="s">
        <v>385</v>
      </c>
      <c r="M57" s="9">
        <v>89.0</v>
      </c>
      <c r="N57" s="2" t="s">
        <v>386</v>
      </c>
      <c r="O57" s="2" t="s">
        <v>56</v>
      </c>
      <c r="P57" s="11">
        <v>5.0</v>
      </c>
      <c r="Q57" s="3"/>
      <c r="R57" s="8" t="s">
        <v>387</v>
      </c>
      <c r="S57" s="2" t="s">
        <v>28</v>
      </c>
    </row>
    <row r="58" ht="67.5" customHeight="1">
      <c r="A58" s="2" t="s">
        <v>388</v>
      </c>
      <c r="B58" s="3" t="str">
        <f>IMAGE("https://image.tmdb.org/t/p/w342/qbhJiXi48fRQevHf56i2JmYqyJ7.jpg")</f>
        <v/>
      </c>
      <c r="C58" s="2" t="s">
        <v>389</v>
      </c>
      <c r="D58" s="4">
        <v>41243.0</v>
      </c>
      <c r="E58" s="5">
        <v>2012.0</v>
      </c>
      <c r="F58" s="2" t="s">
        <v>21</v>
      </c>
      <c r="G58" s="6"/>
      <c r="H58" s="5">
        <v>134597.0</v>
      </c>
      <c r="I58" s="7">
        <v>6.4</v>
      </c>
      <c r="J58" s="2" t="s">
        <v>39</v>
      </c>
      <c r="K58" s="2" t="s">
        <v>390</v>
      </c>
      <c r="L58" s="8" t="s">
        <v>391</v>
      </c>
      <c r="M58" s="9">
        <v>82.0</v>
      </c>
      <c r="N58" s="2" t="s">
        <v>392</v>
      </c>
      <c r="O58" s="2" t="s">
        <v>26</v>
      </c>
      <c r="P58" s="10"/>
      <c r="Q58" s="3"/>
      <c r="R58" s="8" t="s">
        <v>393</v>
      </c>
      <c r="S58" s="2" t="s">
        <v>28</v>
      </c>
    </row>
    <row r="59" ht="67.5" customHeight="1">
      <c r="A59" s="2" t="s">
        <v>394</v>
      </c>
      <c r="B59" s="3" t="str">
        <f>IMAGE("https://image.tmdb.org/t/p/w342/e33HSokiAxhj8ptpAr2xAU4jnd8.jpg")</f>
        <v/>
      </c>
      <c r="C59" s="2" t="s">
        <v>395</v>
      </c>
      <c r="D59" s="4">
        <v>40003.0</v>
      </c>
      <c r="E59" s="5">
        <v>2009.0</v>
      </c>
      <c r="F59" s="2" t="s">
        <v>21</v>
      </c>
      <c r="G59" s="6"/>
      <c r="H59" s="5">
        <v>21407.0</v>
      </c>
      <c r="I59" s="7">
        <v>6.617</v>
      </c>
      <c r="J59" s="2" t="s">
        <v>39</v>
      </c>
      <c r="K59" s="2" t="s">
        <v>396</v>
      </c>
      <c r="L59" s="8" t="s">
        <v>397</v>
      </c>
      <c r="M59" s="9">
        <v>90.0</v>
      </c>
      <c r="N59" s="2" t="s">
        <v>398</v>
      </c>
      <c r="O59" s="2" t="s">
        <v>56</v>
      </c>
      <c r="P59" s="11">
        <v>4.0</v>
      </c>
      <c r="Q59" s="3"/>
      <c r="R59" s="8" t="s">
        <v>399</v>
      </c>
      <c r="S59" s="2" t="s">
        <v>28</v>
      </c>
    </row>
    <row r="60" ht="67.5" customHeight="1">
      <c r="A60" s="2" t="s">
        <v>400</v>
      </c>
      <c r="B60" s="3" t="str">
        <f>IMAGE("https://image.tmdb.org/t/p/w342/oCoTgC3UyWGfyQ9thE10ulWR7bn.jpg")</f>
        <v/>
      </c>
      <c r="C60" s="2" t="s">
        <v>401</v>
      </c>
      <c r="D60" s="4">
        <v>45679.0</v>
      </c>
      <c r="E60" s="5">
        <v>2025.0</v>
      </c>
      <c r="F60" s="2" t="s">
        <v>31</v>
      </c>
      <c r="G60" s="6"/>
      <c r="H60" s="5">
        <v>1084199.0</v>
      </c>
      <c r="I60" s="7">
        <v>7.0</v>
      </c>
      <c r="J60" s="2" t="s">
        <v>402</v>
      </c>
      <c r="K60" s="2" t="s">
        <v>403</v>
      </c>
      <c r="L60" s="8" t="s">
        <v>404</v>
      </c>
      <c r="M60" s="9">
        <v>97.0</v>
      </c>
      <c r="N60" s="2" t="s">
        <v>405</v>
      </c>
      <c r="O60" s="2" t="s">
        <v>56</v>
      </c>
      <c r="P60" s="11">
        <v>4.0</v>
      </c>
      <c r="Q60" s="3"/>
      <c r="R60" s="8" t="s">
        <v>406</v>
      </c>
      <c r="S60" s="2" t="s">
        <v>28</v>
      </c>
    </row>
    <row r="61" ht="67.5" customHeight="1">
      <c r="A61" s="2" t="s">
        <v>407</v>
      </c>
      <c r="B61" s="3" t="str">
        <f>IMAGE("https://image.tmdb.org/t/p/w342/aA2WdIhq7e3grXFg6FZemRvbAIM.jpg")</f>
        <v/>
      </c>
      <c r="C61" s="2" t="s">
        <v>408</v>
      </c>
      <c r="D61" s="4">
        <v>41221.0</v>
      </c>
      <c r="E61" s="5">
        <v>2012.0</v>
      </c>
      <c r="F61" s="2" t="s">
        <v>21</v>
      </c>
      <c r="G61" s="6"/>
      <c r="H61" s="5">
        <v>140212.0</v>
      </c>
      <c r="I61" s="7">
        <v>7.138</v>
      </c>
      <c r="J61" s="2" t="s">
        <v>409</v>
      </c>
      <c r="K61" s="2" t="s">
        <v>410</v>
      </c>
      <c r="L61" s="8" t="s">
        <v>411</v>
      </c>
      <c r="M61" s="9">
        <v>119.0</v>
      </c>
      <c r="N61" s="2" t="s">
        <v>412</v>
      </c>
      <c r="O61" s="2" t="s">
        <v>56</v>
      </c>
      <c r="P61" s="11">
        <v>5.0</v>
      </c>
      <c r="Q61" s="3"/>
      <c r="R61" s="8" t="s">
        <v>413</v>
      </c>
      <c r="S61" s="2" t="s">
        <v>28</v>
      </c>
    </row>
    <row r="62" ht="67.5" customHeight="1">
      <c r="A62" s="2" t="s">
        <v>414</v>
      </c>
      <c r="B62" s="3" t="str">
        <f>IMAGE("https://image.tmdb.org/t/p/w342/wVYREutTvI2tmxr6ujrHT704wGF.jpg")</f>
        <v/>
      </c>
      <c r="C62" s="2" t="s">
        <v>415</v>
      </c>
      <c r="D62" s="4">
        <v>41473.0</v>
      </c>
      <c r="E62" s="5">
        <v>2013.0</v>
      </c>
      <c r="F62" s="2" t="s">
        <v>21</v>
      </c>
      <c r="G62" s="6"/>
      <c r="H62" s="5">
        <v>138843.0</v>
      </c>
      <c r="I62" s="7">
        <v>7.539</v>
      </c>
      <c r="J62" s="2" t="s">
        <v>39</v>
      </c>
      <c r="K62" s="2" t="s">
        <v>416</v>
      </c>
      <c r="L62" s="8" t="s">
        <v>417</v>
      </c>
      <c r="M62" s="9">
        <v>112.0</v>
      </c>
      <c r="N62" s="2" t="s">
        <v>418</v>
      </c>
      <c r="O62" s="2" t="s">
        <v>56</v>
      </c>
      <c r="P62" s="11">
        <v>4.0</v>
      </c>
      <c r="Q62" s="3"/>
      <c r="R62" s="8" t="s">
        <v>419</v>
      </c>
      <c r="S62" s="2" t="s">
        <v>28</v>
      </c>
    </row>
    <row r="63" ht="67.5" customHeight="1">
      <c r="A63" s="2" t="s">
        <v>420</v>
      </c>
      <c r="B63" s="3" t="str">
        <f>IMAGE("https://image.tmdb.org/t/p/w342/zEqyD0SBt6HL7W9JQoWwtd5Do1T.jpg")</f>
        <v/>
      </c>
      <c r="C63" s="2" t="s">
        <v>421</v>
      </c>
      <c r="D63" s="4">
        <v>42529.0</v>
      </c>
      <c r="E63" s="5">
        <v>2016.0</v>
      </c>
      <c r="F63" s="2" t="s">
        <v>21</v>
      </c>
      <c r="G63" s="6"/>
      <c r="H63" s="5">
        <v>259693.0</v>
      </c>
      <c r="I63" s="7">
        <v>7.293</v>
      </c>
      <c r="J63" s="2" t="s">
        <v>93</v>
      </c>
      <c r="K63" s="2" t="s">
        <v>422</v>
      </c>
      <c r="L63" s="8" t="s">
        <v>423</v>
      </c>
      <c r="M63" s="9">
        <v>134.0</v>
      </c>
      <c r="N63" s="2" t="s">
        <v>424</v>
      </c>
      <c r="O63" s="2" t="s">
        <v>56</v>
      </c>
      <c r="P63" s="11">
        <v>3.0</v>
      </c>
      <c r="Q63" s="3"/>
      <c r="R63" s="8" t="s">
        <v>425</v>
      </c>
      <c r="S63" s="2" t="s">
        <v>28</v>
      </c>
    </row>
    <row r="64" ht="67.5" customHeight="1">
      <c r="A64" s="2" t="s">
        <v>426</v>
      </c>
      <c r="B64" s="3" t="str">
        <f>IMAGE("https://image.tmdb.org/t/p/w342/byWgphT74ClOVa8EOGzYDkl8DVL.jpg")</f>
        <v/>
      </c>
      <c r="C64" s="2" t="s">
        <v>427</v>
      </c>
      <c r="D64" s="4">
        <v>45903.0</v>
      </c>
      <c r="E64" s="5">
        <v>2025.0</v>
      </c>
      <c r="F64" s="2" t="s">
        <v>31</v>
      </c>
      <c r="G64" s="6"/>
      <c r="H64" s="5">
        <v>1038392.0</v>
      </c>
      <c r="I64" s="7">
        <v>6.9</v>
      </c>
      <c r="J64" s="2" t="s">
        <v>93</v>
      </c>
      <c r="K64" s="2" t="s">
        <v>428</v>
      </c>
      <c r="L64" s="8" t="s">
        <v>429</v>
      </c>
      <c r="M64" s="9">
        <v>136.0</v>
      </c>
      <c r="N64" s="2" t="s">
        <v>430</v>
      </c>
      <c r="O64" s="2" t="s">
        <v>56</v>
      </c>
      <c r="P64" s="11">
        <v>2.0</v>
      </c>
      <c r="Q64" s="3"/>
      <c r="R64" s="8" t="s">
        <v>431</v>
      </c>
      <c r="S64" s="2" t="s">
        <v>28</v>
      </c>
    </row>
    <row r="65" ht="67.5" customHeight="1">
      <c r="A65" s="2" t="s">
        <v>432</v>
      </c>
      <c r="B65" s="3" t="str">
        <f>IMAGE("https://image.tmdb.org/t/p/w342/xbSuFiJbbBWCkyCCKIMfuDCA4yV.jpg")</f>
        <v/>
      </c>
      <c r="C65" s="2" t="s">
        <v>433</v>
      </c>
      <c r="D65" s="4">
        <v>44341.0</v>
      </c>
      <c r="E65" s="5">
        <v>2021.0</v>
      </c>
      <c r="F65" s="2" t="s">
        <v>21</v>
      </c>
      <c r="G65" s="6"/>
      <c r="H65" s="5">
        <v>423108.0</v>
      </c>
      <c r="I65" s="7">
        <v>7.4</v>
      </c>
      <c r="J65" s="2" t="s">
        <v>434</v>
      </c>
      <c r="K65" s="2" t="s">
        <v>435</v>
      </c>
      <c r="L65" s="8" t="s">
        <v>436</v>
      </c>
      <c r="M65" s="9">
        <v>111.0</v>
      </c>
      <c r="N65" s="2" t="s">
        <v>437</v>
      </c>
      <c r="O65" s="2" t="s">
        <v>56</v>
      </c>
      <c r="P65" s="11">
        <v>3.0</v>
      </c>
      <c r="Q65" s="3"/>
      <c r="R65" s="8" t="s">
        <v>438</v>
      </c>
      <c r="S65" s="2" t="s">
        <v>28</v>
      </c>
    </row>
    <row r="66" ht="67.5" customHeight="1">
      <c r="A66" s="2" t="s">
        <v>439</v>
      </c>
      <c r="B66" s="3" t="str">
        <f>IMAGE("https://image.tmdb.org/t/p/w342/qA31i7FPVDHezuoevx3497CvZd4.jpg")</f>
        <v/>
      </c>
      <c r="C66" s="2" t="s">
        <v>440</v>
      </c>
      <c r="D66" s="4">
        <v>40235.0</v>
      </c>
      <c r="E66" s="5">
        <v>2010.0</v>
      </c>
      <c r="F66" s="2" t="s">
        <v>21</v>
      </c>
      <c r="G66" s="6"/>
      <c r="H66" s="5">
        <v>23742.0</v>
      </c>
      <c r="I66" s="7">
        <v>5.55</v>
      </c>
      <c r="J66" s="2" t="s">
        <v>441</v>
      </c>
      <c r="K66" s="2" t="s">
        <v>442</v>
      </c>
      <c r="L66" s="8" t="s">
        <v>443</v>
      </c>
      <c r="M66" s="9">
        <v>107.0</v>
      </c>
      <c r="N66" s="2" t="s">
        <v>444</v>
      </c>
      <c r="O66" s="2" t="s">
        <v>56</v>
      </c>
      <c r="P66" s="11">
        <v>2.0</v>
      </c>
      <c r="Q66" s="3"/>
      <c r="R66" s="8" t="s">
        <v>445</v>
      </c>
      <c r="S66" s="2" t="s">
        <v>28</v>
      </c>
    </row>
    <row r="67" ht="67.5" customHeight="1">
      <c r="A67" s="2" t="s">
        <v>446</v>
      </c>
      <c r="B67" s="3" t="str">
        <f>IMAGE("https://image.tmdb.org/t/p/w342/4jeFXQYytChdZYE9JYO7Un87IlW.jpg")</f>
        <v/>
      </c>
      <c r="C67" s="2" t="s">
        <v>447</v>
      </c>
      <c r="D67" s="4">
        <v>39849.0</v>
      </c>
      <c r="E67" s="5">
        <v>2009.0</v>
      </c>
      <c r="F67" s="2" t="s">
        <v>31</v>
      </c>
      <c r="G67" s="6"/>
      <c r="H67" s="5">
        <v>14836.0</v>
      </c>
      <c r="I67" s="7">
        <v>7.906</v>
      </c>
      <c r="J67" s="2" t="s">
        <v>448</v>
      </c>
      <c r="K67" s="2" t="s">
        <v>449</v>
      </c>
      <c r="L67" s="8" t="s">
        <v>450</v>
      </c>
      <c r="M67" s="9">
        <v>100.0</v>
      </c>
      <c r="N67" s="2" t="s">
        <v>451</v>
      </c>
      <c r="O67" s="2" t="s">
        <v>56</v>
      </c>
      <c r="P67" s="11">
        <v>5.0</v>
      </c>
      <c r="Q67" s="3"/>
      <c r="R67" s="8" t="s">
        <v>452</v>
      </c>
      <c r="S67" s="2" t="s">
        <v>28</v>
      </c>
    </row>
    <row r="68" ht="67.5" customHeight="1">
      <c r="A68" s="2" t="s">
        <v>453</v>
      </c>
      <c r="B68" s="3" t="str">
        <f>IMAGE("https://image.tmdb.org/t/p/w342/ggtG9DZELyTtM2Y0DRJDOJa5iP8.jpg")</f>
        <v/>
      </c>
      <c r="C68" s="2" t="s">
        <v>454</v>
      </c>
      <c r="D68" s="4">
        <v>40235.0</v>
      </c>
      <c r="E68" s="5">
        <v>2010.0</v>
      </c>
      <c r="F68" s="2" t="s">
        <v>21</v>
      </c>
      <c r="G68" s="6"/>
      <c r="H68" s="5">
        <v>29427.0</v>
      </c>
      <c r="I68" s="7">
        <v>6.308</v>
      </c>
      <c r="J68" s="2" t="s">
        <v>455</v>
      </c>
      <c r="K68" s="2" t="s">
        <v>456</v>
      </c>
      <c r="L68" s="8" t="s">
        <v>457</v>
      </c>
      <c r="M68" s="9">
        <v>101.0</v>
      </c>
      <c r="N68" s="2" t="s">
        <v>458</v>
      </c>
      <c r="O68" s="2" t="s">
        <v>56</v>
      </c>
      <c r="P68" s="11">
        <v>5.0</v>
      </c>
      <c r="Q68" s="3"/>
      <c r="R68" s="8" t="s">
        <v>459</v>
      </c>
      <c r="S68" s="2" t="s">
        <v>28</v>
      </c>
    </row>
    <row r="69" ht="67.5" customHeight="1">
      <c r="A69" s="2" t="s">
        <v>460</v>
      </c>
      <c r="B69" s="3" t="str">
        <f>IMAGE("https://image.tmdb.org/t/p/w342/qn53D574tT0YRyLgirEFHQwGUXw.jpg")</f>
        <v/>
      </c>
      <c r="C69" s="2" t="s">
        <v>461</v>
      </c>
      <c r="D69" s="4">
        <v>41706.0</v>
      </c>
      <c r="E69" s="5">
        <v>2014.0</v>
      </c>
      <c r="F69" s="2" t="s">
        <v>21</v>
      </c>
      <c r="G69" s="6"/>
      <c r="H69" s="5">
        <v>250574.0</v>
      </c>
      <c r="I69" s="7">
        <v>6.4</v>
      </c>
      <c r="J69" s="2" t="s">
        <v>39</v>
      </c>
      <c r="K69" s="2" t="s">
        <v>462</v>
      </c>
      <c r="L69" s="8" t="s">
        <v>463</v>
      </c>
      <c r="M69" s="9">
        <v>82.0</v>
      </c>
      <c r="N69" s="2" t="s">
        <v>464</v>
      </c>
      <c r="O69" s="2" t="s">
        <v>56</v>
      </c>
      <c r="P69" s="11">
        <v>5.0</v>
      </c>
      <c r="Q69" s="3"/>
      <c r="R69" s="8" t="s">
        <v>465</v>
      </c>
      <c r="S69" s="2" t="s">
        <v>28</v>
      </c>
    </row>
    <row r="70" ht="67.5" customHeight="1">
      <c r="A70" s="2" t="s">
        <v>466</v>
      </c>
      <c r="B70" s="3"/>
      <c r="C70" s="2" t="s">
        <v>466</v>
      </c>
      <c r="D70" s="12"/>
      <c r="E70" s="3"/>
      <c r="F70" s="2" t="s">
        <v>467</v>
      </c>
      <c r="G70" s="6"/>
      <c r="H70" s="3"/>
      <c r="I70" s="13"/>
      <c r="J70" s="3"/>
      <c r="K70" s="3"/>
      <c r="L70" s="3"/>
      <c r="M70" s="14"/>
      <c r="N70" s="3"/>
      <c r="O70" s="2" t="s">
        <v>221</v>
      </c>
      <c r="P70" s="11">
        <v>4.0</v>
      </c>
      <c r="Q70" s="3"/>
      <c r="R70" s="3"/>
      <c r="S70" s="2" t="s">
        <v>272</v>
      </c>
    </row>
    <row r="71" ht="67.5" customHeight="1">
      <c r="A71" s="2" t="s">
        <v>468</v>
      </c>
      <c r="B71" s="3" t="str">
        <f>IMAGE("https://image.tmdb.org/t/p/w342/4SoyTCEpsgLjX6yAyMsx3AsAyRQ.jpg")</f>
        <v/>
      </c>
      <c r="C71" s="2" t="s">
        <v>469</v>
      </c>
      <c r="D71" s="4">
        <v>30265.0</v>
      </c>
      <c r="E71" s="5">
        <v>1982.0</v>
      </c>
      <c r="F71" s="2" t="s">
        <v>21</v>
      </c>
      <c r="G71" s="6"/>
      <c r="H71" s="5">
        <v>16281.0</v>
      </c>
      <c r="I71" s="7">
        <v>6.898</v>
      </c>
      <c r="J71" s="2" t="s">
        <v>251</v>
      </c>
      <c r="K71" s="2" t="s">
        <v>470</v>
      </c>
      <c r="L71" s="8" t="s">
        <v>471</v>
      </c>
      <c r="M71" s="9">
        <v>120.0</v>
      </c>
      <c r="N71" s="2" t="s">
        <v>472</v>
      </c>
      <c r="O71" s="2" t="s">
        <v>56</v>
      </c>
      <c r="P71" s="11">
        <v>5.0</v>
      </c>
      <c r="Q71" s="3"/>
      <c r="R71" s="8" t="s">
        <v>473</v>
      </c>
      <c r="S71" s="2" t="s">
        <v>28</v>
      </c>
    </row>
    <row r="72" ht="67.5" customHeight="1">
      <c r="A72" s="2" t="s">
        <v>474</v>
      </c>
      <c r="B72" s="3" t="str">
        <f>IMAGE("https://image.tmdb.org/t/p/w342/bbanIymLuTYmQGis9nlCkFlT1eg.jpg")</f>
        <v/>
      </c>
      <c r="C72" s="2" t="s">
        <v>475</v>
      </c>
      <c r="D72" s="4">
        <v>31898.0</v>
      </c>
      <c r="E72" s="5">
        <v>1987.0</v>
      </c>
      <c r="F72" s="2" t="s">
        <v>21</v>
      </c>
      <c r="G72" s="6"/>
      <c r="H72" s="5">
        <v>16288.0</v>
      </c>
      <c r="I72" s="7">
        <v>6.249</v>
      </c>
      <c r="J72" s="2" t="s">
        <v>251</v>
      </c>
      <c r="K72" s="2" t="s">
        <v>476</v>
      </c>
      <c r="L72" s="8" t="s">
        <v>477</v>
      </c>
      <c r="M72" s="9">
        <v>89.0</v>
      </c>
      <c r="N72" s="2" t="s">
        <v>478</v>
      </c>
      <c r="O72" s="2" t="s">
        <v>56</v>
      </c>
      <c r="P72" s="11">
        <v>4.0</v>
      </c>
      <c r="Q72" s="3"/>
      <c r="R72" s="8" t="s">
        <v>479</v>
      </c>
      <c r="S72" s="2" t="s">
        <v>28</v>
      </c>
    </row>
    <row r="73" ht="67.5" customHeight="1">
      <c r="A73" s="2" t="s">
        <v>480</v>
      </c>
      <c r="B73" s="3" t="str">
        <f>IMAGE("https://image.tmdb.org/t/p/w342/r5JUiMYfatwYeDkxkLWYUx5GIjY.jpg")</f>
        <v/>
      </c>
      <c r="C73" s="2" t="s">
        <v>481</v>
      </c>
      <c r="D73" s="4">
        <v>43020.0</v>
      </c>
      <c r="E73" s="5">
        <v>2017.0</v>
      </c>
      <c r="F73" s="2" t="s">
        <v>21</v>
      </c>
      <c r="G73" s="6"/>
      <c r="H73" s="5">
        <v>393345.0</v>
      </c>
      <c r="I73" s="7">
        <v>5.844</v>
      </c>
      <c r="J73" s="2" t="s">
        <v>39</v>
      </c>
      <c r="K73" s="2" t="s">
        <v>482</v>
      </c>
      <c r="L73" s="8" t="s">
        <v>483</v>
      </c>
      <c r="M73" s="9">
        <v>91.0</v>
      </c>
      <c r="N73" s="2" t="s">
        <v>484</v>
      </c>
      <c r="O73" s="2" t="s">
        <v>56</v>
      </c>
      <c r="P73" s="10"/>
      <c r="Q73" s="3"/>
      <c r="R73" s="8" t="s">
        <v>485</v>
      </c>
      <c r="S73" s="2" t="s">
        <v>28</v>
      </c>
    </row>
    <row r="74" ht="67.5" customHeight="1">
      <c r="A74" s="2" t="s">
        <v>486</v>
      </c>
      <c r="B74" s="3" t="str">
        <f>IMAGE("https://image.tmdb.org/t/p/w342/yTRrqIGusJuzG5Pe3iFQTnHg1Ps.jpg")</f>
        <v/>
      </c>
      <c r="C74" s="2" t="s">
        <v>487</v>
      </c>
      <c r="D74" s="4">
        <v>35791.0</v>
      </c>
      <c r="E74" s="5">
        <v>1997.0</v>
      </c>
      <c r="F74" s="2" t="s">
        <v>31</v>
      </c>
      <c r="G74" s="6"/>
      <c r="H74" s="5">
        <v>36095.0</v>
      </c>
      <c r="I74" s="7">
        <v>7.552</v>
      </c>
      <c r="J74" s="2" t="s">
        <v>488</v>
      </c>
      <c r="K74" s="2" t="s">
        <v>489</v>
      </c>
      <c r="L74" s="8" t="s">
        <v>490</v>
      </c>
      <c r="M74" s="9">
        <v>111.0</v>
      </c>
      <c r="N74" s="2" t="s">
        <v>491</v>
      </c>
      <c r="O74" s="2" t="s">
        <v>26</v>
      </c>
      <c r="P74" s="10"/>
      <c r="Q74" s="3"/>
      <c r="R74" s="8" t="s">
        <v>492</v>
      </c>
      <c r="S74" s="2" t="s">
        <v>28</v>
      </c>
    </row>
    <row r="75" ht="67.5" customHeight="1">
      <c r="A75" s="2" t="s">
        <v>493</v>
      </c>
      <c r="B75" s="3" t="str">
        <f>IMAGE("https://image.tmdb.org/t/p/w342/x9DzkDWp8O82Wzxk6otuD9bce9a.jpg")</f>
        <v/>
      </c>
      <c r="C75" s="2" t="s">
        <v>494</v>
      </c>
      <c r="D75" s="4">
        <v>41555.0</v>
      </c>
      <c r="E75" s="5">
        <v>2013.0</v>
      </c>
      <c r="F75" s="2" t="s">
        <v>21</v>
      </c>
      <c r="G75" s="6"/>
      <c r="H75" s="5">
        <v>167032.0</v>
      </c>
      <c r="I75" s="7">
        <v>5.941</v>
      </c>
      <c r="J75" s="2" t="s">
        <v>39</v>
      </c>
      <c r="K75" s="2" t="s">
        <v>495</v>
      </c>
      <c r="L75" s="8" t="s">
        <v>496</v>
      </c>
      <c r="M75" s="9">
        <v>97.0</v>
      </c>
      <c r="N75" s="2" t="s">
        <v>497</v>
      </c>
      <c r="O75" s="2" t="s">
        <v>56</v>
      </c>
      <c r="P75" s="10"/>
      <c r="Q75" s="3"/>
      <c r="R75" s="8" t="s">
        <v>498</v>
      </c>
      <c r="S75" s="2" t="s">
        <v>28</v>
      </c>
    </row>
    <row r="76" ht="67.5" customHeight="1">
      <c r="A76" s="2" t="s">
        <v>499</v>
      </c>
      <c r="B76" s="3" t="str">
        <f>IMAGE("https://image.tmdb.org/t/p/w342/qJ2tW6WMUDux911r6m7haRef0WH.jpg")</f>
        <v/>
      </c>
      <c r="C76" s="2" t="s">
        <v>500</v>
      </c>
      <c r="D76" s="4">
        <v>39645.0</v>
      </c>
      <c r="E76" s="5">
        <v>2008.0</v>
      </c>
      <c r="F76" s="2" t="s">
        <v>31</v>
      </c>
      <c r="G76" s="6"/>
      <c r="H76" s="5">
        <v>155.0</v>
      </c>
      <c r="I76" s="7">
        <v>8.531</v>
      </c>
      <c r="J76" s="2" t="s">
        <v>501</v>
      </c>
      <c r="K76" s="2" t="s">
        <v>502</v>
      </c>
      <c r="L76" s="8" t="s">
        <v>503</v>
      </c>
      <c r="M76" s="9">
        <v>152.0</v>
      </c>
      <c r="N76" s="2" t="s">
        <v>504</v>
      </c>
      <c r="O76" s="2" t="s">
        <v>56</v>
      </c>
      <c r="P76" s="11">
        <v>5.0</v>
      </c>
      <c r="Q76" s="3"/>
      <c r="R76" s="8" t="s">
        <v>505</v>
      </c>
      <c r="S76" s="2" t="s">
        <v>28</v>
      </c>
    </row>
    <row r="77" ht="67.5" customHeight="1">
      <c r="A77" s="2" t="s">
        <v>506</v>
      </c>
      <c r="B77" s="3" t="str">
        <f>IMAGE("https://image.tmdb.org/t/p/w342/hr0L2aueqlP2BYUblTTjmtn0hw4.jpg")</f>
        <v/>
      </c>
      <c r="C77" s="2" t="s">
        <v>507</v>
      </c>
      <c r="D77" s="4">
        <v>41107.0</v>
      </c>
      <c r="E77" s="5">
        <v>2012.0</v>
      </c>
      <c r="F77" s="2" t="s">
        <v>31</v>
      </c>
      <c r="G77" s="6"/>
      <c r="H77" s="5">
        <v>49026.0</v>
      </c>
      <c r="I77" s="7">
        <v>7.8</v>
      </c>
      <c r="J77" s="2" t="s">
        <v>508</v>
      </c>
      <c r="K77" s="2" t="s">
        <v>509</v>
      </c>
      <c r="L77" s="8" t="s">
        <v>510</v>
      </c>
      <c r="M77" s="9">
        <v>165.0</v>
      </c>
      <c r="N77" s="2" t="s">
        <v>511</v>
      </c>
      <c r="O77" s="2" t="s">
        <v>26</v>
      </c>
      <c r="P77" s="10"/>
      <c r="Q77" s="3"/>
      <c r="R77" s="8" t="s">
        <v>512</v>
      </c>
      <c r="S77" s="2" t="s">
        <v>28</v>
      </c>
    </row>
    <row r="78" ht="67.5" customHeight="1">
      <c r="A78" s="2" t="s">
        <v>513</v>
      </c>
      <c r="B78" s="3" t="str">
        <f>IMAGE("https://image.tmdb.org/t/p/w342/ttquyxStEEctzghtA2f4PUGprDr.jpg")</f>
        <v/>
      </c>
      <c r="C78" s="2" t="s">
        <v>514</v>
      </c>
      <c r="D78" s="4">
        <v>38065.0</v>
      </c>
      <c r="E78" s="5">
        <v>2004.0</v>
      </c>
      <c r="F78" s="2" t="s">
        <v>21</v>
      </c>
      <c r="G78" s="6"/>
      <c r="H78" s="5">
        <v>924.0</v>
      </c>
      <c r="I78" s="7">
        <v>7.067</v>
      </c>
      <c r="J78" s="2" t="s">
        <v>515</v>
      </c>
      <c r="K78" s="2" t="s">
        <v>516</v>
      </c>
      <c r="L78" s="8" t="s">
        <v>517</v>
      </c>
      <c r="M78" s="9">
        <v>101.0</v>
      </c>
      <c r="N78" s="2" t="s">
        <v>518</v>
      </c>
      <c r="O78" s="2" t="s">
        <v>26</v>
      </c>
      <c r="P78" s="10"/>
      <c r="Q78" s="3"/>
      <c r="R78" s="8" t="s">
        <v>519</v>
      </c>
      <c r="S78" s="2" t="s">
        <v>28</v>
      </c>
    </row>
    <row r="79" ht="67.5" customHeight="1">
      <c r="A79" s="2" t="s">
        <v>520</v>
      </c>
      <c r="B79" s="3" t="str">
        <f>IMAGE("https://image.tmdb.org/t/p/w342/mSmAc9G25fhOHH45SLEeagR0qi7.jpg")</f>
        <v/>
      </c>
      <c r="C79" s="2" t="s">
        <v>521</v>
      </c>
      <c r="D79" s="4">
        <v>41828.0</v>
      </c>
      <c r="E79" s="5">
        <v>2014.0</v>
      </c>
      <c r="F79" s="2" t="s">
        <v>31</v>
      </c>
      <c r="G79" s="6"/>
      <c r="H79" s="5">
        <v>119450.0</v>
      </c>
      <c r="I79" s="7">
        <v>7.3</v>
      </c>
      <c r="J79" s="2" t="s">
        <v>522</v>
      </c>
      <c r="K79" s="2" t="s">
        <v>523</v>
      </c>
      <c r="L79" s="8" t="s">
        <v>524</v>
      </c>
      <c r="M79" s="9">
        <v>130.0</v>
      </c>
      <c r="N79" s="2" t="s">
        <v>525</v>
      </c>
      <c r="O79" s="2" t="s">
        <v>26</v>
      </c>
      <c r="P79" s="10"/>
      <c r="Q79" s="3"/>
      <c r="R79" s="8" t="s">
        <v>526</v>
      </c>
      <c r="S79" s="2" t="s">
        <v>28</v>
      </c>
    </row>
    <row r="80" ht="67.5" customHeight="1">
      <c r="A80" s="2" t="s">
        <v>527</v>
      </c>
      <c r="B80" s="3" t="str">
        <f>IMAGE("https://image.tmdb.org/t/p/w342/Wr4HeYQRvwVCxzOV5TmGE7UkXq.jpg")</f>
        <v/>
      </c>
      <c r="C80" s="2" t="s">
        <v>528</v>
      </c>
      <c r="D80" s="4">
        <v>38133.0</v>
      </c>
      <c r="E80" s="5">
        <v>2004.0</v>
      </c>
      <c r="F80" s="2" t="s">
        <v>21</v>
      </c>
      <c r="G80" s="6"/>
      <c r="H80" s="5">
        <v>435.0</v>
      </c>
      <c r="I80" s="7">
        <v>6.6</v>
      </c>
      <c r="J80" s="2" t="s">
        <v>529</v>
      </c>
      <c r="K80" s="2" t="s">
        <v>530</v>
      </c>
      <c r="L80" s="8" t="s">
        <v>531</v>
      </c>
      <c r="M80" s="9">
        <v>123.0</v>
      </c>
      <c r="N80" s="2" t="s">
        <v>532</v>
      </c>
      <c r="O80" s="2" t="s">
        <v>56</v>
      </c>
      <c r="P80" s="11">
        <v>4.0</v>
      </c>
      <c r="Q80" s="3"/>
      <c r="R80" s="8" t="s">
        <v>533</v>
      </c>
      <c r="S80" s="2" t="s">
        <v>28</v>
      </c>
    </row>
    <row r="81" ht="67.5" customHeight="1">
      <c r="A81" s="2" t="s">
        <v>534</v>
      </c>
      <c r="B81" s="3" t="str">
        <f>IMAGE("https://image.tmdb.org/t/p/w342/rvcUVdATIHKZt7BSSttUkKbeBXN.jpg")</f>
        <v/>
      </c>
      <c r="C81" s="2" t="s">
        <v>535</v>
      </c>
      <c r="D81" s="4">
        <v>39157.0</v>
      </c>
      <c r="E81" s="5">
        <v>2007.0</v>
      </c>
      <c r="F81" s="2" t="s">
        <v>21</v>
      </c>
      <c r="G81" s="6"/>
      <c r="H81" s="5">
        <v>14001.0</v>
      </c>
      <c r="I81" s="7">
        <v>6.453</v>
      </c>
      <c r="J81" s="2" t="s">
        <v>93</v>
      </c>
      <c r="K81" s="2" t="s">
        <v>536</v>
      </c>
      <c r="L81" s="8" t="s">
        <v>537</v>
      </c>
      <c r="M81" s="9">
        <v>89.0</v>
      </c>
      <c r="N81" s="2" t="s">
        <v>538</v>
      </c>
      <c r="O81" s="2" t="s">
        <v>56</v>
      </c>
      <c r="P81" s="11">
        <v>5.0</v>
      </c>
      <c r="Q81" s="3"/>
      <c r="R81" s="8" t="s">
        <v>539</v>
      </c>
      <c r="S81" s="2" t="s">
        <v>28</v>
      </c>
    </row>
    <row r="82" ht="67.5" customHeight="1">
      <c r="A82" s="2" t="s">
        <v>540</v>
      </c>
      <c r="B82" s="3" t="str">
        <f>IMAGE("https://image.tmdb.org/t/p/w342/mxFPI4KYBk5ri9cPteIS8jiDFgj.jpg")</f>
        <v/>
      </c>
      <c r="C82" s="2" t="s">
        <v>541</v>
      </c>
      <c r="D82" s="4">
        <v>38541.0</v>
      </c>
      <c r="E82" s="5">
        <v>2005.0</v>
      </c>
      <c r="F82" s="2" t="s">
        <v>21</v>
      </c>
      <c r="G82" s="6"/>
      <c r="H82" s="5">
        <v>9392.0</v>
      </c>
      <c r="I82" s="7">
        <v>6.979</v>
      </c>
      <c r="J82" s="2" t="s">
        <v>542</v>
      </c>
      <c r="K82" s="2" t="s">
        <v>543</v>
      </c>
      <c r="L82" s="8" t="s">
        <v>544</v>
      </c>
      <c r="M82" s="9">
        <v>100.0</v>
      </c>
      <c r="N82" s="2" t="s">
        <v>545</v>
      </c>
      <c r="O82" s="2" t="s">
        <v>56</v>
      </c>
      <c r="P82" s="11">
        <v>3.0</v>
      </c>
      <c r="Q82" s="3"/>
      <c r="R82" s="8" t="s">
        <v>546</v>
      </c>
      <c r="S82" s="2" t="s">
        <v>28</v>
      </c>
    </row>
    <row r="83" ht="67.5" customHeight="1">
      <c r="A83" s="2" t="s">
        <v>547</v>
      </c>
      <c r="B83" s="3" t="str">
        <f>IMAGE("https://image.tmdb.org/t/p/w342/drZz4AuI7trq6BxlH9Xa4v4O0Pb.jpg")</f>
        <v/>
      </c>
      <c r="C83" s="2" t="s">
        <v>548</v>
      </c>
      <c r="D83" s="4">
        <v>38555.0</v>
      </c>
      <c r="E83" s="5">
        <v>2005.0</v>
      </c>
      <c r="F83" s="2" t="s">
        <v>21</v>
      </c>
      <c r="G83" s="6"/>
      <c r="H83" s="5">
        <v>1696.0</v>
      </c>
      <c r="I83" s="7">
        <v>6.7</v>
      </c>
      <c r="J83" s="2" t="s">
        <v>549</v>
      </c>
      <c r="K83" s="2" t="s">
        <v>550</v>
      </c>
      <c r="L83" s="8" t="s">
        <v>551</v>
      </c>
      <c r="M83" s="9">
        <v>111.0</v>
      </c>
      <c r="N83" s="2" t="s">
        <v>552</v>
      </c>
      <c r="O83" s="2" t="s">
        <v>26</v>
      </c>
      <c r="P83" s="10"/>
      <c r="Q83" s="3"/>
      <c r="R83" s="8" t="s">
        <v>553</v>
      </c>
      <c r="S83" s="2" t="s">
        <v>28</v>
      </c>
    </row>
    <row r="84" ht="67.5" customHeight="1">
      <c r="A84" s="2" t="s">
        <v>554</v>
      </c>
      <c r="B84" s="3" t="str">
        <f>IMAGE("https://image.tmdb.org/t/p/w342/n0W7kajF4GFMRk2c0wWwMQqTaDM.jpg")</f>
        <v/>
      </c>
      <c r="C84" s="2" t="s">
        <v>555</v>
      </c>
      <c r="D84" s="4">
        <v>41044.0</v>
      </c>
      <c r="E84" s="5">
        <v>2012.0</v>
      </c>
      <c r="F84" s="2" t="s">
        <v>21</v>
      </c>
      <c r="G84" s="6"/>
      <c r="H84" s="5">
        <v>76493.0</v>
      </c>
      <c r="I84" s="7">
        <v>6.2</v>
      </c>
      <c r="J84" s="2" t="s">
        <v>146</v>
      </c>
      <c r="K84" s="2" t="s">
        <v>556</v>
      </c>
      <c r="L84" s="8" t="s">
        <v>557</v>
      </c>
      <c r="M84" s="9">
        <v>83.0</v>
      </c>
      <c r="N84" s="2" t="s">
        <v>558</v>
      </c>
      <c r="O84" s="2" t="s">
        <v>56</v>
      </c>
      <c r="P84" s="11">
        <v>3.0</v>
      </c>
      <c r="Q84" s="3"/>
      <c r="R84" s="8" t="s">
        <v>559</v>
      </c>
      <c r="S84" s="2" t="s">
        <v>28</v>
      </c>
    </row>
    <row r="85" ht="67.5" customHeight="1">
      <c r="A85" s="2" t="s">
        <v>560</v>
      </c>
      <c r="B85" s="3" t="str">
        <f>IMAGE("https://image.tmdb.org/t/p/w342/3f9KwSrieczuH9nRrwfOsoMoMNd.jpg")</f>
        <v/>
      </c>
      <c r="C85" s="2" t="s">
        <v>561</v>
      </c>
      <c r="D85" s="4">
        <v>39168.0</v>
      </c>
      <c r="E85" s="5">
        <v>2007.0</v>
      </c>
      <c r="F85" s="2" t="s">
        <v>21</v>
      </c>
      <c r="G85" s="6"/>
      <c r="H85" s="5">
        <v>8271.0</v>
      </c>
      <c r="I85" s="7">
        <v>6.686</v>
      </c>
      <c r="J85" s="2" t="s">
        <v>562</v>
      </c>
      <c r="K85" s="2" t="s">
        <v>563</v>
      </c>
      <c r="L85" s="8" t="s">
        <v>564</v>
      </c>
      <c r="M85" s="9">
        <v>105.0</v>
      </c>
      <c r="N85" s="2" t="s">
        <v>565</v>
      </c>
      <c r="O85" s="2" t="s">
        <v>56</v>
      </c>
      <c r="P85" s="11">
        <v>5.0</v>
      </c>
      <c r="Q85" s="3"/>
      <c r="R85" s="8" t="s">
        <v>566</v>
      </c>
      <c r="S85" s="2" t="s">
        <v>28</v>
      </c>
    </row>
    <row r="86" ht="67.5" customHeight="1">
      <c r="A86" s="2" t="s">
        <v>567</v>
      </c>
      <c r="B86" s="3" t="str">
        <f>IMAGE("https://image.tmdb.org/t/p/w342/p69QzIBbN06aTYqRRiCOY1emNBh.jpg")</f>
        <v/>
      </c>
      <c r="C86" s="2" t="s">
        <v>568</v>
      </c>
      <c r="D86" s="4">
        <v>43768.0</v>
      </c>
      <c r="E86" s="5">
        <v>2019.0</v>
      </c>
      <c r="F86" s="2" t="s">
        <v>21</v>
      </c>
      <c r="G86" s="6"/>
      <c r="H86" s="5">
        <v>501170.0</v>
      </c>
      <c r="I86" s="7">
        <v>7.1</v>
      </c>
      <c r="J86" s="2" t="s">
        <v>569</v>
      </c>
      <c r="K86" s="2" t="s">
        <v>570</v>
      </c>
      <c r="L86" s="8" t="s">
        <v>571</v>
      </c>
      <c r="M86" s="9">
        <v>152.0</v>
      </c>
      <c r="N86" s="2" t="s">
        <v>572</v>
      </c>
      <c r="O86" s="2" t="s">
        <v>26</v>
      </c>
      <c r="P86" s="10"/>
      <c r="Q86" s="3"/>
      <c r="R86" s="8" t="s">
        <v>573</v>
      </c>
      <c r="S86" s="2" t="s">
        <v>28</v>
      </c>
    </row>
    <row r="87" ht="67.5" customHeight="1">
      <c r="A87" s="2" t="s">
        <v>574</v>
      </c>
      <c r="B87" s="3" t="str">
        <f>IMAGE("https://image.tmdb.org/t/p/w342/oxhHl2YokTqcP44QK5tiTgjgLgk.jpg")</f>
        <v/>
      </c>
      <c r="C87" s="2" t="s">
        <v>575</v>
      </c>
      <c r="D87" s="4">
        <v>36437.0</v>
      </c>
      <c r="E87" s="5">
        <v>1999.0</v>
      </c>
      <c r="F87" s="2" t="s">
        <v>31</v>
      </c>
      <c r="G87" s="6"/>
      <c r="H87" s="5">
        <v>1832.0</v>
      </c>
      <c r="I87" s="7">
        <v>6.928</v>
      </c>
      <c r="J87" s="2" t="s">
        <v>576</v>
      </c>
      <c r="K87" s="2" t="s">
        <v>577</v>
      </c>
      <c r="L87" s="8" t="s">
        <v>578</v>
      </c>
      <c r="M87" s="9">
        <v>130.0</v>
      </c>
      <c r="N87" s="2" t="s">
        <v>579</v>
      </c>
      <c r="O87" s="2" t="s">
        <v>56</v>
      </c>
      <c r="P87" s="11">
        <v>4.0</v>
      </c>
      <c r="Q87" s="3"/>
      <c r="R87" s="8" t="s">
        <v>580</v>
      </c>
      <c r="S87" s="2" t="s">
        <v>28</v>
      </c>
    </row>
    <row r="88" ht="67.5" customHeight="1">
      <c r="A88" s="2" t="s">
        <v>581</v>
      </c>
      <c r="B88" s="3" t="str">
        <f>IMAGE("https://image.tmdb.org/t/p/w342/lLhvwLNU4pLgvaNREVFaQ4n3lCf.jpg")</f>
        <v/>
      </c>
      <c r="C88" s="2" t="s">
        <v>582</v>
      </c>
      <c r="D88" s="4">
        <v>37701.0</v>
      </c>
      <c r="E88" s="5">
        <v>2003.0</v>
      </c>
      <c r="F88" s="2" t="s">
        <v>21</v>
      </c>
      <c r="G88" s="6"/>
      <c r="H88" s="5">
        <v>6171.0</v>
      </c>
      <c r="I88" s="7">
        <v>5.6</v>
      </c>
      <c r="J88" s="2" t="s">
        <v>583</v>
      </c>
      <c r="K88" s="2" t="s">
        <v>584</v>
      </c>
      <c r="L88" s="8" t="s">
        <v>585</v>
      </c>
      <c r="M88" s="9">
        <v>134.0</v>
      </c>
      <c r="N88" s="2" t="s">
        <v>586</v>
      </c>
      <c r="O88" s="2" t="s">
        <v>56</v>
      </c>
      <c r="P88" s="11">
        <v>5.0</v>
      </c>
      <c r="Q88" s="3"/>
      <c r="R88" s="8" t="s">
        <v>587</v>
      </c>
      <c r="S88" s="2" t="s">
        <v>28</v>
      </c>
    </row>
    <row r="89" ht="67.5" customHeight="1">
      <c r="A89" s="2" t="s">
        <v>588</v>
      </c>
      <c r="B89" s="3" t="str">
        <f>IMAGE("https://image.tmdb.org/t/p/w342/shqO696kFnM8Z4ODa3JglcjP97u.jpg")</f>
        <v/>
      </c>
      <c r="C89" s="2" t="s">
        <v>589</v>
      </c>
      <c r="D89" s="4">
        <v>39482.0</v>
      </c>
      <c r="E89" s="5">
        <v>2008.0</v>
      </c>
      <c r="F89" s="2" t="s">
        <v>21</v>
      </c>
      <c r="G89" s="6"/>
      <c r="H89" s="5">
        <v>8457.0</v>
      </c>
      <c r="I89" s="7">
        <v>5.824</v>
      </c>
      <c r="J89" s="2" t="s">
        <v>146</v>
      </c>
      <c r="K89" s="2" t="s">
        <v>590</v>
      </c>
      <c r="L89" s="8" t="s">
        <v>591</v>
      </c>
      <c r="M89" s="9">
        <v>110.0</v>
      </c>
      <c r="N89" s="2" t="s">
        <v>592</v>
      </c>
      <c r="O89" s="2" t="s">
        <v>56</v>
      </c>
      <c r="P89" s="11">
        <v>4.0</v>
      </c>
      <c r="Q89" s="3"/>
      <c r="R89" s="8" t="s">
        <v>593</v>
      </c>
      <c r="S89" s="2" t="s">
        <v>28</v>
      </c>
    </row>
    <row r="90" ht="67.5" customHeight="1">
      <c r="A90" s="2" t="s">
        <v>594</v>
      </c>
      <c r="B90" s="3" t="str">
        <f>IMAGE("https://image.tmdb.org/t/p/w342/an0nD6uq6byfxXCfk6lQBzdL2J1.jpg")</f>
        <v/>
      </c>
      <c r="C90" s="2" t="s">
        <v>595</v>
      </c>
      <c r="D90" s="4">
        <v>30113.0</v>
      </c>
      <c r="E90" s="5">
        <v>1982.0</v>
      </c>
      <c r="F90" s="2" t="s">
        <v>21</v>
      </c>
      <c r="G90" s="6"/>
      <c r="H90" s="5">
        <v>601.0</v>
      </c>
      <c r="I90" s="7">
        <v>7.516</v>
      </c>
      <c r="J90" s="2" t="s">
        <v>596</v>
      </c>
      <c r="K90" s="2" t="s">
        <v>597</v>
      </c>
      <c r="L90" s="8" t="s">
        <v>598</v>
      </c>
      <c r="M90" s="9">
        <v>115.0</v>
      </c>
      <c r="N90" s="2" t="s">
        <v>599</v>
      </c>
      <c r="O90" s="2" t="s">
        <v>56</v>
      </c>
      <c r="P90" s="11">
        <v>5.0</v>
      </c>
      <c r="Q90" s="3"/>
      <c r="R90" s="8" t="s">
        <v>600</v>
      </c>
      <c r="S90" s="2" t="s">
        <v>28</v>
      </c>
    </row>
    <row r="91" ht="67.5" customHeight="1">
      <c r="A91" s="2" t="s">
        <v>601</v>
      </c>
      <c r="B91" s="3" t="str">
        <f>IMAGE("https://image.tmdb.org/t/p/w342/9TspO5dThMBioF0DFrvy6YqrngH.jpg")</f>
        <v/>
      </c>
      <c r="C91" s="2" t="s">
        <v>602</v>
      </c>
      <c r="D91" s="4">
        <v>36007.0</v>
      </c>
      <c r="E91" s="5">
        <v>1998.0</v>
      </c>
      <c r="F91" s="2" t="s">
        <v>21</v>
      </c>
      <c r="G91" s="6"/>
      <c r="H91" s="5">
        <v>9454.0</v>
      </c>
      <c r="I91" s="7">
        <v>7.449</v>
      </c>
      <c r="J91" s="2" t="s">
        <v>603</v>
      </c>
      <c r="K91" s="2" t="s">
        <v>604</v>
      </c>
      <c r="L91" s="8" t="s">
        <v>605</v>
      </c>
      <c r="M91" s="9">
        <v>121.0</v>
      </c>
      <c r="N91" s="2" t="s">
        <v>606</v>
      </c>
      <c r="O91" s="2" t="s">
        <v>26</v>
      </c>
      <c r="P91" s="10"/>
      <c r="Q91" s="3"/>
      <c r="R91" s="8" t="s">
        <v>607</v>
      </c>
      <c r="S91" s="2" t="s">
        <v>28</v>
      </c>
    </row>
    <row r="92" ht="67.5" customHeight="1">
      <c r="A92" s="2" t="s">
        <v>608</v>
      </c>
      <c r="B92" s="3" t="str">
        <f>IMAGE("https://image.tmdb.org/t/p/w342/1gDV0Lm9y8ufIKzyf0h0GBgb9Zj.jpg")</f>
        <v/>
      </c>
      <c r="C92" s="2" t="s">
        <v>609</v>
      </c>
      <c r="D92" s="4">
        <v>41369.0</v>
      </c>
      <c r="E92" s="5">
        <v>2013.0</v>
      </c>
      <c r="F92" s="2" t="s">
        <v>21</v>
      </c>
      <c r="G92" s="6"/>
      <c r="H92" s="5">
        <v>109428.0</v>
      </c>
      <c r="I92" s="7">
        <v>6.6</v>
      </c>
      <c r="J92" s="2" t="s">
        <v>93</v>
      </c>
      <c r="K92" s="2" t="s">
        <v>610</v>
      </c>
      <c r="L92" s="8" t="s">
        <v>611</v>
      </c>
      <c r="M92" s="9">
        <v>91.0</v>
      </c>
      <c r="N92" s="2" t="s">
        <v>612</v>
      </c>
      <c r="O92" s="2" t="s">
        <v>56</v>
      </c>
      <c r="P92" s="11">
        <v>4.0</v>
      </c>
      <c r="Q92" s="3"/>
      <c r="R92" s="8" t="s">
        <v>613</v>
      </c>
      <c r="S92" s="2" t="s">
        <v>28</v>
      </c>
    </row>
    <row r="93" ht="67.5" customHeight="1">
      <c r="A93" s="2" t="s">
        <v>614</v>
      </c>
      <c r="B93" s="3" t="str">
        <f>IMAGE("https://image.tmdb.org/t/p/w342/4zqCKJVHUolGs6C5AZwAZqLWixW.jpg")</f>
        <v/>
      </c>
      <c r="C93" s="2" t="s">
        <v>615</v>
      </c>
      <c r="D93" s="4">
        <v>31849.0</v>
      </c>
      <c r="E93" s="5">
        <v>1987.0</v>
      </c>
      <c r="F93" s="2" t="s">
        <v>21</v>
      </c>
      <c r="G93" s="6"/>
      <c r="H93" s="5">
        <v>765.0</v>
      </c>
      <c r="I93" s="7">
        <v>7.542</v>
      </c>
      <c r="J93" s="2" t="s">
        <v>616</v>
      </c>
      <c r="K93" s="2" t="s">
        <v>617</v>
      </c>
      <c r="L93" s="8" t="s">
        <v>618</v>
      </c>
      <c r="M93" s="9">
        <v>84.0</v>
      </c>
      <c r="N93" s="2" t="s">
        <v>619</v>
      </c>
      <c r="O93" s="2" t="s">
        <v>26</v>
      </c>
      <c r="P93" s="10"/>
      <c r="Q93" s="3"/>
      <c r="R93" s="8" t="s">
        <v>620</v>
      </c>
      <c r="S93" s="2" t="s">
        <v>28</v>
      </c>
    </row>
    <row r="94" ht="67.5" customHeight="1">
      <c r="A94" s="2" t="s">
        <v>621</v>
      </c>
      <c r="B94" s="3" t="str">
        <f>IMAGE("https://image.tmdb.org/t/p/w342/5ik4ATKmNtmJU6AYD0bLm56BCVM.jpg")</f>
        <v/>
      </c>
      <c r="C94" s="2" t="s">
        <v>622</v>
      </c>
      <c r="D94" s="4">
        <v>45028.0</v>
      </c>
      <c r="E94" s="5">
        <v>2023.0</v>
      </c>
      <c r="F94" s="2" t="s">
        <v>31</v>
      </c>
      <c r="G94" s="6"/>
      <c r="H94" s="5">
        <v>713704.0</v>
      </c>
      <c r="I94" s="7">
        <v>6.923</v>
      </c>
      <c r="J94" s="2" t="s">
        <v>39</v>
      </c>
      <c r="K94" s="2" t="s">
        <v>623</v>
      </c>
      <c r="L94" s="8" t="s">
        <v>624</v>
      </c>
      <c r="M94" s="9">
        <v>96.0</v>
      </c>
      <c r="N94" s="2" t="s">
        <v>625</v>
      </c>
      <c r="O94" s="2" t="s">
        <v>56</v>
      </c>
      <c r="P94" s="11">
        <v>5.0</v>
      </c>
      <c r="Q94" s="3"/>
      <c r="R94" s="8" t="s">
        <v>626</v>
      </c>
      <c r="S94" s="2" t="s">
        <v>28</v>
      </c>
    </row>
    <row r="95" ht="67.5" customHeight="1">
      <c r="A95" s="2" t="s">
        <v>627</v>
      </c>
      <c r="B95" s="3" t="str">
        <f>IMAGE("https://image.tmdb.org/t/p/w342/dmJW8IAKHKxFNiUnoDR7JfsK7Rp.jpg")</f>
        <v/>
      </c>
      <c r="C95" s="2" t="s">
        <v>628</v>
      </c>
      <c r="D95" s="4">
        <v>42025.0</v>
      </c>
      <c r="E95" s="5">
        <v>2015.0</v>
      </c>
      <c r="F95" s="2" t="s">
        <v>21</v>
      </c>
      <c r="G95" s="6"/>
      <c r="H95" s="5">
        <v>264660.0</v>
      </c>
      <c r="I95" s="7">
        <v>7.6</v>
      </c>
      <c r="J95" s="2" t="s">
        <v>629</v>
      </c>
      <c r="K95" s="2" t="s">
        <v>630</v>
      </c>
      <c r="L95" s="8" t="s">
        <v>631</v>
      </c>
      <c r="M95" s="9">
        <v>108.0</v>
      </c>
      <c r="N95" s="2" t="s">
        <v>632</v>
      </c>
      <c r="O95" s="2" t="s">
        <v>56</v>
      </c>
      <c r="P95" s="11">
        <v>4.0</v>
      </c>
      <c r="Q95" s="3"/>
      <c r="R95" s="8" t="s">
        <v>633</v>
      </c>
      <c r="S95" s="2" t="s">
        <v>28</v>
      </c>
    </row>
    <row r="96" ht="67.5" customHeight="1">
      <c r="A96" s="2" t="s">
        <v>634</v>
      </c>
      <c r="B96" s="3" t="str">
        <f>IMAGE("https://image.tmdb.org/t/p/w342/5x0CeVHJI8tcDx8tUUwYHQSNILq.jpg")</f>
        <v/>
      </c>
      <c r="C96" s="2" t="s">
        <v>635</v>
      </c>
      <c r="D96" s="4">
        <v>27024.0</v>
      </c>
      <c r="E96" s="5">
        <v>1973.0</v>
      </c>
      <c r="F96" s="2" t="s">
        <v>31</v>
      </c>
      <c r="G96" s="6"/>
      <c r="H96" s="5">
        <v>9552.0</v>
      </c>
      <c r="I96" s="7">
        <v>7.743</v>
      </c>
      <c r="J96" s="2" t="s">
        <v>184</v>
      </c>
      <c r="K96" s="2" t="s">
        <v>636</v>
      </c>
      <c r="L96" s="8" t="s">
        <v>637</v>
      </c>
      <c r="M96" s="9">
        <v>122.0</v>
      </c>
      <c r="N96" s="2" t="s">
        <v>638</v>
      </c>
      <c r="O96" s="2" t="s">
        <v>56</v>
      </c>
      <c r="P96" s="11">
        <v>3.0</v>
      </c>
      <c r="Q96" s="3"/>
      <c r="R96" s="8" t="s">
        <v>639</v>
      </c>
      <c r="S96" s="2" t="s">
        <v>28</v>
      </c>
    </row>
    <row r="97" ht="67.5" customHeight="1">
      <c r="A97" s="2" t="s">
        <v>640</v>
      </c>
      <c r="B97" s="3" t="str">
        <f>IMAGE("https://image.tmdb.org/t/p/w342/rhSftgj3vwpIDSP8v67N8KEubmz.jpg")</f>
        <v/>
      </c>
      <c r="C97" s="2" t="s">
        <v>641</v>
      </c>
      <c r="D97" s="4">
        <v>33102.0</v>
      </c>
      <c r="E97" s="5">
        <v>1990.0</v>
      </c>
      <c r="F97" s="2" t="s">
        <v>31</v>
      </c>
      <c r="G97" s="6"/>
      <c r="H97" s="5">
        <v>11587.0</v>
      </c>
      <c r="I97" s="7">
        <v>6.3</v>
      </c>
      <c r="J97" s="2" t="s">
        <v>73</v>
      </c>
      <c r="K97" s="2" t="s">
        <v>642</v>
      </c>
      <c r="L97" s="8" t="s">
        <v>643</v>
      </c>
      <c r="M97" s="9">
        <v>110.0</v>
      </c>
      <c r="N97" s="2" t="s">
        <v>644</v>
      </c>
      <c r="O97" s="2" t="s">
        <v>26</v>
      </c>
      <c r="P97" s="10"/>
      <c r="Q97" s="3"/>
      <c r="R97" s="8" t="s">
        <v>645</v>
      </c>
      <c r="S97" s="2" t="s">
        <v>28</v>
      </c>
    </row>
    <row r="98" ht="67.5" customHeight="1">
      <c r="A98" s="2" t="s">
        <v>646</v>
      </c>
      <c r="B98" s="3" t="str">
        <f>IMAGE("https://image.tmdb.org/t/p/w342/j09ZkH6R4JWVylBcDai1laCmGw7.jpg")</f>
        <v/>
      </c>
      <c r="C98" s="2" t="s">
        <v>647</v>
      </c>
      <c r="D98" s="4">
        <v>40397.0</v>
      </c>
      <c r="E98" s="5">
        <v>2010.0</v>
      </c>
      <c r="F98" s="2" t="s">
        <v>21</v>
      </c>
      <c r="G98" s="6"/>
      <c r="H98" s="5">
        <v>27578.0</v>
      </c>
      <c r="I98" s="7">
        <v>6.25</v>
      </c>
      <c r="J98" s="2" t="s">
        <v>648</v>
      </c>
      <c r="K98" s="2" t="s">
        <v>649</v>
      </c>
      <c r="L98" s="8" t="s">
        <v>650</v>
      </c>
      <c r="M98" s="9">
        <v>103.0</v>
      </c>
      <c r="N98" s="2" t="s">
        <v>651</v>
      </c>
      <c r="O98" s="2" t="s">
        <v>56</v>
      </c>
      <c r="P98" s="11">
        <v>3.0</v>
      </c>
      <c r="Q98" s="3"/>
      <c r="R98" s="8" t="s">
        <v>652</v>
      </c>
      <c r="S98" s="2" t="s">
        <v>28</v>
      </c>
    </row>
    <row r="99" ht="67.5" customHeight="1">
      <c r="A99" s="2" t="s">
        <v>653</v>
      </c>
      <c r="B99" s="3" t="str">
        <f>IMAGE("https://image.tmdb.org/t/p/w342/74rTIGyGoIu5KSxDVMdr8H3MtMo.jpg")</f>
        <v/>
      </c>
      <c r="C99" s="2" t="s">
        <v>654</v>
      </c>
      <c r="D99" s="4">
        <v>41129.0</v>
      </c>
      <c r="E99" s="5">
        <v>2012.0</v>
      </c>
      <c r="F99" s="2" t="s">
        <v>21</v>
      </c>
      <c r="G99" s="6"/>
      <c r="H99" s="5">
        <v>76163.0</v>
      </c>
      <c r="I99" s="7">
        <v>6.353</v>
      </c>
      <c r="J99" s="2" t="s">
        <v>655</v>
      </c>
      <c r="K99" s="2" t="s">
        <v>656</v>
      </c>
      <c r="L99" s="8" t="s">
        <v>657</v>
      </c>
      <c r="M99" s="9">
        <v>103.0</v>
      </c>
      <c r="N99" s="2" t="s">
        <v>658</v>
      </c>
      <c r="O99" s="2" t="s">
        <v>56</v>
      </c>
      <c r="P99" s="11">
        <v>3.0</v>
      </c>
      <c r="Q99" s="3"/>
      <c r="R99" s="8" t="s">
        <v>659</v>
      </c>
      <c r="S99" s="2" t="s">
        <v>28</v>
      </c>
    </row>
    <row r="100" ht="67.5" customHeight="1">
      <c r="A100" s="2" t="s">
        <v>660</v>
      </c>
      <c r="B100" s="3" t="str">
        <f>IMAGE("https://image.tmdb.org/t/p/w342/knEIz1eNGl5MQDbrEAVWA7iRqF9.jpg")</f>
        <v/>
      </c>
      <c r="C100" s="2" t="s">
        <v>661</v>
      </c>
      <c r="D100" s="4">
        <v>36357.0</v>
      </c>
      <c r="E100" s="5">
        <v>1999.0</v>
      </c>
      <c r="F100" s="2" t="s">
        <v>31</v>
      </c>
      <c r="G100" s="6"/>
      <c r="H100" s="5">
        <v>345.0</v>
      </c>
      <c r="I100" s="7">
        <v>7.486</v>
      </c>
      <c r="J100" s="2" t="s">
        <v>662</v>
      </c>
      <c r="K100" s="2" t="s">
        <v>663</v>
      </c>
      <c r="L100" s="8" t="s">
        <v>664</v>
      </c>
      <c r="M100" s="9">
        <v>160.0</v>
      </c>
      <c r="N100" s="2" t="s">
        <v>665</v>
      </c>
      <c r="O100" s="2" t="s">
        <v>26</v>
      </c>
      <c r="P100" s="10"/>
      <c r="Q100" s="3"/>
      <c r="R100" s="8" t="s">
        <v>666</v>
      </c>
      <c r="S100" s="2" t="s">
        <v>28</v>
      </c>
    </row>
    <row r="101" ht="67.5" customHeight="1">
      <c r="A101" s="2" t="s">
        <v>667</v>
      </c>
      <c r="B101" s="3" t="str">
        <f>IMAGE("https://image.tmdb.org/t/p/w342/litjsBoiydO6JlO70uOX4N3WnNL.jpg")</f>
        <v/>
      </c>
      <c r="C101" s="2" t="s">
        <v>668</v>
      </c>
      <c r="D101" s="4">
        <v>43285.0</v>
      </c>
      <c r="E101" s="5">
        <v>2018.0</v>
      </c>
      <c r="F101" s="2" t="s">
        <v>21</v>
      </c>
      <c r="G101" s="6"/>
      <c r="H101" s="5">
        <v>442249.0</v>
      </c>
      <c r="I101" s="7">
        <v>6.002</v>
      </c>
      <c r="J101" s="2" t="s">
        <v>669</v>
      </c>
      <c r="K101" s="2" t="s">
        <v>670</v>
      </c>
      <c r="L101" s="8" t="s">
        <v>671</v>
      </c>
      <c r="M101" s="9">
        <v>97.0</v>
      </c>
      <c r="N101" s="2" t="s">
        <v>672</v>
      </c>
      <c r="O101" s="2" t="s">
        <v>56</v>
      </c>
      <c r="P101" s="11">
        <v>2.0</v>
      </c>
      <c r="Q101" s="3"/>
      <c r="R101" s="8" t="s">
        <v>673</v>
      </c>
      <c r="S101" s="2" t="s">
        <v>28</v>
      </c>
    </row>
    <row r="102" ht="67.5" customHeight="1">
      <c r="A102" s="2" t="s">
        <v>674</v>
      </c>
      <c r="B102" s="3" t="str">
        <f>IMAGE("https://image.tmdb.org/t/p/w342/f9ZASRUfl8Jlco7rgRx3ujPR0P7.jpg")</f>
        <v/>
      </c>
      <c r="C102" s="2" t="s">
        <v>675</v>
      </c>
      <c r="D102" s="4">
        <v>37848.0</v>
      </c>
      <c r="E102" s="5">
        <v>2003.0</v>
      </c>
      <c r="F102" s="2" t="s">
        <v>21</v>
      </c>
      <c r="G102" s="6"/>
      <c r="H102" s="5">
        <v>6466.0</v>
      </c>
      <c r="I102" s="7">
        <v>6.092</v>
      </c>
      <c r="J102" s="2" t="s">
        <v>93</v>
      </c>
      <c r="K102" s="2" t="s">
        <v>676</v>
      </c>
      <c r="L102" s="8" t="s">
        <v>677</v>
      </c>
      <c r="M102" s="9">
        <v>97.0</v>
      </c>
      <c r="N102" s="2" t="s">
        <v>678</v>
      </c>
      <c r="O102" s="2" t="s">
        <v>26</v>
      </c>
      <c r="P102" s="10"/>
      <c r="Q102" s="3"/>
      <c r="R102" s="8" t="s">
        <v>679</v>
      </c>
      <c r="S102" s="2" t="s">
        <v>28</v>
      </c>
    </row>
    <row r="103" ht="67.5" customHeight="1">
      <c r="A103" s="2" t="s">
        <v>680</v>
      </c>
      <c r="B103" s="3" t="str">
        <f>IMAGE("https://image.tmdb.org/t/p/w342/e4qh58n2WaG4Gyh9VhjOUeN9Mhv.jpg")</f>
        <v/>
      </c>
      <c r="C103" s="2" t="s">
        <v>681</v>
      </c>
      <c r="D103" s="4">
        <v>33486.0</v>
      </c>
      <c r="E103" s="5">
        <v>1991.0</v>
      </c>
      <c r="F103" s="2" t="s">
        <v>21</v>
      </c>
      <c r="G103" s="6"/>
      <c r="H103" s="5">
        <v>11284.0</v>
      </c>
      <c r="I103" s="7">
        <v>5.3</v>
      </c>
      <c r="J103" s="2" t="s">
        <v>39</v>
      </c>
      <c r="K103" s="2" t="s">
        <v>682</v>
      </c>
      <c r="L103" s="8" t="s">
        <v>683</v>
      </c>
      <c r="M103" s="9">
        <v>89.0</v>
      </c>
      <c r="N103" s="2" t="s">
        <v>684</v>
      </c>
      <c r="O103" s="2" t="s">
        <v>26</v>
      </c>
      <c r="P103" s="10"/>
      <c r="Q103" s="3"/>
      <c r="R103" s="8" t="s">
        <v>685</v>
      </c>
      <c r="S103" s="2" t="s">
        <v>28</v>
      </c>
    </row>
    <row r="104" ht="67.5" customHeight="1">
      <c r="A104" s="2" t="s">
        <v>686</v>
      </c>
      <c r="B104" s="3" t="str">
        <f>IMAGE("https://image.tmdb.org/t/p/w342/uGGpnWHOmWTARVN9wbC1nPxNgps.jpg")</f>
        <v/>
      </c>
      <c r="C104" s="2" t="s">
        <v>687</v>
      </c>
      <c r="D104" s="4">
        <v>29350.0</v>
      </c>
      <c r="E104" s="5">
        <v>1980.0</v>
      </c>
      <c r="F104" s="2" t="s">
        <v>21</v>
      </c>
      <c r="G104" s="6"/>
      <c r="H104" s="5">
        <v>4488.0</v>
      </c>
      <c r="I104" s="7">
        <v>6.398</v>
      </c>
      <c r="J104" s="2" t="s">
        <v>93</v>
      </c>
      <c r="K104" s="2" t="s">
        <v>688</v>
      </c>
      <c r="L104" s="8" t="s">
        <v>689</v>
      </c>
      <c r="M104" s="9">
        <v>95.0</v>
      </c>
      <c r="N104" s="2" t="s">
        <v>690</v>
      </c>
      <c r="O104" s="2" t="s">
        <v>56</v>
      </c>
      <c r="P104" s="11">
        <v>3.0</v>
      </c>
      <c r="Q104" s="3"/>
      <c r="R104" s="8" t="s">
        <v>691</v>
      </c>
      <c r="S104" s="2" t="s">
        <v>28</v>
      </c>
    </row>
    <row r="105" ht="67.5" customHeight="1">
      <c r="A105" s="2" t="s">
        <v>692</v>
      </c>
      <c r="B105" s="3" t="str">
        <f>IMAGE("https://image.tmdb.org/t/p/w342/88wlJ4teYlck4hJ2bnlxBrAVh0m.jpg")</f>
        <v/>
      </c>
      <c r="C105" s="2" t="s">
        <v>687</v>
      </c>
      <c r="D105" s="4">
        <v>39855.0</v>
      </c>
      <c r="E105" s="5">
        <v>2009.0</v>
      </c>
      <c r="F105" s="2" t="s">
        <v>21</v>
      </c>
      <c r="G105" s="6"/>
      <c r="H105" s="5">
        <v>13207.0</v>
      </c>
      <c r="I105" s="7">
        <v>5.771</v>
      </c>
      <c r="J105" s="2" t="s">
        <v>39</v>
      </c>
      <c r="K105" s="2" t="s">
        <v>693</v>
      </c>
      <c r="L105" s="8" t="s">
        <v>694</v>
      </c>
      <c r="M105" s="9">
        <v>97.0</v>
      </c>
      <c r="N105" s="2" t="s">
        <v>695</v>
      </c>
      <c r="O105" s="2" t="s">
        <v>56</v>
      </c>
      <c r="P105" s="11">
        <v>4.0</v>
      </c>
      <c r="Q105" s="3"/>
      <c r="R105" s="8" t="s">
        <v>696</v>
      </c>
      <c r="S105" s="2" t="s">
        <v>28</v>
      </c>
    </row>
    <row r="106" ht="67.5" customHeight="1">
      <c r="A106" s="2" t="s">
        <v>697</v>
      </c>
      <c r="B106" s="3" t="str">
        <f>IMAGE("https://image.tmdb.org/t/p/w342/9kukTSlgFgXnQGdpcHvHcpTDiUc.jpg")</f>
        <v/>
      </c>
      <c r="C106" s="2" t="s">
        <v>698</v>
      </c>
      <c r="D106" s="4">
        <v>30176.0</v>
      </c>
      <c r="E106" s="5">
        <v>1982.0</v>
      </c>
      <c r="F106" s="2" t="s">
        <v>21</v>
      </c>
      <c r="G106" s="6"/>
      <c r="H106" s="5">
        <v>9728.0</v>
      </c>
      <c r="I106" s="7">
        <v>5.9</v>
      </c>
      <c r="J106" s="2" t="s">
        <v>39</v>
      </c>
      <c r="K106" s="2" t="s">
        <v>699</v>
      </c>
      <c r="L106" s="8" t="s">
        <v>700</v>
      </c>
      <c r="M106" s="9">
        <v>95.0</v>
      </c>
      <c r="N106" s="2" t="s">
        <v>701</v>
      </c>
      <c r="O106" s="2" t="s">
        <v>26</v>
      </c>
      <c r="P106" s="10"/>
      <c r="Q106" s="3"/>
      <c r="R106" s="8" t="s">
        <v>702</v>
      </c>
      <c r="S106" s="2" t="s">
        <v>28</v>
      </c>
    </row>
    <row r="107" ht="67.5" customHeight="1">
      <c r="A107" s="2" t="s">
        <v>703</v>
      </c>
      <c r="B107" s="3" t="str">
        <f>IMAGE("https://image.tmdb.org/t/p/w342/92rGctBMTv4uaSlIBVnhz01kRWL.jpg")</f>
        <v/>
      </c>
      <c r="C107" s="2" t="s">
        <v>704</v>
      </c>
      <c r="D107" s="4">
        <v>29707.0</v>
      </c>
      <c r="E107" s="5">
        <v>1981.0</v>
      </c>
      <c r="F107" s="2" t="s">
        <v>21</v>
      </c>
      <c r="G107" s="6"/>
      <c r="H107" s="5">
        <v>9725.0</v>
      </c>
      <c r="I107" s="7">
        <v>6.193</v>
      </c>
      <c r="J107" s="2" t="s">
        <v>39</v>
      </c>
      <c r="K107" s="2" t="s">
        <v>705</v>
      </c>
      <c r="L107" s="8" t="s">
        <v>706</v>
      </c>
      <c r="M107" s="9">
        <v>86.0</v>
      </c>
      <c r="N107" s="2" t="s">
        <v>707</v>
      </c>
      <c r="O107" s="2" t="s">
        <v>26</v>
      </c>
      <c r="P107" s="10"/>
      <c r="Q107" s="3"/>
      <c r="R107" s="8" t="s">
        <v>708</v>
      </c>
      <c r="S107" s="2" t="s">
        <v>28</v>
      </c>
    </row>
    <row r="108" ht="67.5" customHeight="1">
      <c r="A108" s="2" t="s">
        <v>709</v>
      </c>
      <c r="B108" s="3" t="str">
        <f>IMAGE("https://image.tmdb.org/t/p/w342/ewnIs4aCuWnKQ13Eaj8f3ybrQc8.jpg")</f>
        <v/>
      </c>
      <c r="C108" s="2" t="s">
        <v>710</v>
      </c>
      <c r="D108" s="4">
        <v>31128.0</v>
      </c>
      <c r="E108" s="5">
        <v>1985.0</v>
      </c>
      <c r="F108" s="2" t="s">
        <v>21</v>
      </c>
      <c r="G108" s="6"/>
      <c r="H108" s="5">
        <v>9731.0</v>
      </c>
      <c r="I108" s="7">
        <v>5.3</v>
      </c>
      <c r="J108" s="2" t="s">
        <v>39</v>
      </c>
      <c r="K108" s="2" t="s">
        <v>711</v>
      </c>
      <c r="L108" s="8" t="s">
        <v>712</v>
      </c>
      <c r="M108" s="9">
        <v>92.0</v>
      </c>
      <c r="N108" s="2" t="s">
        <v>713</v>
      </c>
      <c r="O108" s="2" t="s">
        <v>26</v>
      </c>
      <c r="P108" s="10"/>
      <c r="Q108" s="3"/>
      <c r="R108" s="8" t="s">
        <v>714</v>
      </c>
      <c r="S108" s="2" t="s">
        <v>28</v>
      </c>
    </row>
    <row r="109" ht="67.5" customHeight="1">
      <c r="A109" s="2" t="s">
        <v>715</v>
      </c>
      <c r="B109" s="3" t="str">
        <f>IMAGE("https://image.tmdb.org/t/p/w342/6vdUpHvkspQonXBdWcLWW5ciEPJ.jpg")</f>
        <v/>
      </c>
      <c r="C109" s="2" t="s">
        <v>716</v>
      </c>
      <c r="D109" s="4">
        <v>31625.0</v>
      </c>
      <c r="E109" s="5">
        <v>1986.0</v>
      </c>
      <c r="F109" s="2" t="s">
        <v>21</v>
      </c>
      <c r="G109" s="6"/>
      <c r="H109" s="5">
        <v>10225.0</v>
      </c>
      <c r="I109" s="7">
        <v>6.256</v>
      </c>
      <c r="J109" s="2" t="s">
        <v>39</v>
      </c>
      <c r="K109" s="2" t="s">
        <v>717</v>
      </c>
      <c r="L109" s="8" t="s">
        <v>718</v>
      </c>
      <c r="M109" s="9">
        <v>86.0</v>
      </c>
      <c r="N109" s="2" t="s">
        <v>719</v>
      </c>
      <c r="O109" s="2" t="s">
        <v>26</v>
      </c>
      <c r="P109" s="10"/>
      <c r="Q109" s="3"/>
      <c r="R109" s="8" t="s">
        <v>720</v>
      </c>
      <c r="S109" s="2" t="s">
        <v>28</v>
      </c>
    </row>
    <row r="110" ht="67.5" customHeight="1">
      <c r="A110" s="2" t="s">
        <v>721</v>
      </c>
      <c r="B110" s="3" t="str">
        <f>IMAGE("https://image.tmdb.org/t/p/w342/rUzk9Qnyz2FZGxHMBrq6DYIQZkO.jpg")</f>
        <v/>
      </c>
      <c r="C110" s="2" t="s">
        <v>722</v>
      </c>
      <c r="D110" s="4">
        <v>32276.0</v>
      </c>
      <c r="E110" s="5">
        <v>1988.0</v>
      </c>
      <c r="F110" s="2" t="s">
        <v>21</v>
      </c>
      <c r="G110" s="6"/>
      <c r="H110" s="5">
        <v>10281.0</v>
      </c>
      <c r="I110" s="7">
        <v>5.479</v>
      </c>
      <c r="J110" s="2" t="s">
        <v>39</v>
      </c>
      <c r="K110" s="2" t="s">
        <v>723</v>
      </c>
      <c r="L110" s="8" t="s">
        <v>724</v>
      </c>
      <c r="M110" s="9">
        <v>88.0</v>
      </c>
      <c r="N110" s="2" t="s">
        <v>725</v>
      </c>
      <c r="O110" s="2" t="s">
        <v>26</v>
      </c>
      <c r="P110" s="10"/>
      <c r="Q110" s="3"/>
      <c r="R110" s="8" t="s">
        <v>726</v>
      </c>
      <c r="S110" s="2" t="s">
        <v>28</v>
      </c>
    </row>
    <row r="111" ht="67.5" customHeight="1">
      <c r="A111" s="2" t="s">
        <v>727</v>
      </c>
      <c r="B111" s="3" t="str">
        <f>IMAGE("https://image.tmdb.org/t/p/w342/6ezOsZ9UzqGnbDokaatxdOWP6e9.jpg")</f>
        <v/>
      </c>
      <c r="C111" s="2" t="s">
        <v>728</v>
      </c>
      <c r="D111" s="4">
        <v>32717.0</v>
      </c>
      <c r="E111" s="5">
        <v>1989.0</v>
      </c>
      <c r="F111" s="2" t="s">
        <v>21</v>
      </c>
      <c r="G111" s="6"/>
      <c r="H111" s="5">
        <v>10283.0</v>
      </c>
      <c r="I111" s="7">
        <v>4.937</v>
      </c>
      <c r="J111" s="2" t="s">
        <v>39</v>
      </c>
      <c r="K111" s="2" t="s">
        <v>729</v>
      </c>
      <c r="L111" s="8" t="s">
        <v>730</v>
      </c>
      <c r="M111" s="9">
        <v>100.0</v>
      </c>
      <c r="N111" s="2" t="s">
        <v>731</v>
      </c>
      <c r="O111" s="2" t="s">
        <v>26</v>
      </c>
      <c r="P111" s="10"/>
      <c r="Q111" s="3"/>
      <c r="R111" s="8" t="s">
        <v>732</v>
      </c>
      <c r="S111" s="2" t="s">
        <v>28</v>
      </c>
    </row>
    <row r="112" ht="67.5" customHeight="1">
      <c r="A112" s="2" t="s">
        <v>733</v>
      </c>
      <c r="B112" s="3" t="str">
        <f>IMAGE("https://image.tmdb.org/t/p/w342/1J7zudfR3VLPwAf9lK5YPfSu0n6.jpg")</f>
        <v/>
      </c>
      <c r="C112" s="2" t="s">
        <v>734</v>
      </c>
      <c r="D112" s="4">
        <v>30785.0</v>
      </c>
      <c r="E112" s="5">
        <v>1984.0</v>
      </c>
      <c r="F112" s="2" t="s">
        <v>21</v>
      </c>
      <c r="G112" s="6"/>
      <c r="H112" s="5">
        <v>9730.0</v>
      </c>
      <c r="I112" s="7">
        <v>6.1</v>
      </c>
      <c r="J112" s="2" t="s">
        <v>93</v>
      </c>
      <c r="K112" s="2" t="s">
        <v>735</v>
      </c>
      <c r="L112" s="8" t="s">
        <v>736</v>
      </c>
      <c r="M112" s="9">
        <v>91.0</v>
      </c>
      <c r="N112" s="2" t="s">
        <v>737</v>
      </c>
      <c r="O112" s="2" t="s">
        <v>26</v>
      </c>
      <c r="P112" s="10"/>
      <c r="Q112" s="3"/>
      <c r="R112" s="8" t="s">
        <v>738</v>
      </c>
      <c r="S112" s="2" t="s">
        <v>28</v>
      </c>
    </row>
    <row r="113" ht="67.5" customHeight="1">
      <c r="A113" s="2" t="s">
        <v>739</v>
      </c>
      <c r="B113" s="3" t="str">
        <f>IMAGE("https://image.tmdb.org/t/p/w342/nKhhDFCdzxeJ3GUunQ570LDpUkz.jpg")</f>
        <v/>
      </c>
      <c r="C113" s="2" t="s">
        <v>740</v>
      </c>
      <c r="D113" s="4">
        <v>40745.0</v>
      </c>
      <c r="E113" s="5">
        <v>2011.0</v>
      </c>
      <c r="F113" s="2" t="s">
        <v>21</v>
      </c>
      <c r="G113" s="6"/>
      <c r="H113" s="5">
        <v>50544.0</v>
      </c>
      <c r="I113" s="7">
        <v>6.6</v>
      </c>
      <c r="J113" s="2" t="s">
        <v>741</v>
      </c>
      <c r="K113" s="2" t="s">
        <v>742</v>
      </c>
      <c r="L113" s="8" t="s">
        <v>743</v>
      </c>
      <c r="M113" s="9">
        <v>109.0</v>
      </c>
      <c r="N113" s="2" t="s">
        <v>744</v>
      </c>
      <c r="O113" s="2" t="s">
        <v>26</v>
      </c>
      <c r="P113" s="10"/>
      <c r="Q113" s="3"/>
      <c r="R113" s="8" t="s">
        <v>745</v>
      </c>
      <c r="S113" s="2" t="s">
        <v>28</v>
      </c>
    </row>
    <row r="114" ht="67.5" customHeight="1">
      <c r="A114" s="2" t="s">
        <v>746</v>
      </c>
      <c r="B114" s="3" t="str">
        <f>IMAGE("https://image.tmdb.org/t/p/w342/6GISAjE0XiSucmzXIhb1tdnV2yC.jpg")</f>
        <v/>
      </c>
      <c r="C114" s="2" t="s">
        <v>747</v>
      </c>
      <c r="D114" s="4">
        <v>39264.0</v>
      </c>
      <c r="E114" s="5">
        <v>2007.0</v>
      </c>
      <c r="F114" s="2" t="s">
        <v>21</v>
      </c>
      <c r="G114" s="6"/>
      <c r="H114" s="5">
        <v>13492.0</v>
      </c>
      <c r="I114" s="7">
        <v>6.172</v>
      </c>
      <c r="J114" s="2" t="s">
        <v>748</v>
      </c>
      <c r="K114" s="2" t="s">
        <v>749</v>
      </c>
      <c r="L114" s="8" t="s">
        <v>750</v>
      </c>
      <c r="M114" s="9">
        <v>108.0</v>
      </c>
      <c r="N114" s="2" t="s">
        <v>751</v>
      </c>
      <c r="O114" s="2" t="s">
        <v>26</v>
      </c>
      <c r="P114" s="10"/>
      <c r="Q114" s="3"/>
      <c r="R114" s="8" t="s">
        <v>752</v>
      </c>
      <c r="S114" s="2" t="s">
        <v>28</v>
      </c>
    </row>
    <row r="115" ht="67.5" customHeight="1">
      <c r="A115" s="2" t="s">
        <v>753</v>
      </c>
      <c r="B115" s="3" t="str">
        <f>IMAGE("https://image.tmdb.org/t/p/w342/vUJxLlRGM6KfXQDeAHqyMyhrI59.jpg")</f>
        <v/>
      </c>
      <c r="C115" s="2" t="s">
        <v>754</v>
      </c>
      <c r="D115" s="4">
        <v>35684.0</v>
      </c>
      <c r="E115" s="5">
        <v>1997.0</v>
      </c>
      <c r="F115" s="2" t="s">
        <v>21</v>
      </c>
      <c r="G115" s="6"/>
      <c r="H115" s="5">
        <v>10234.0</v>
      </c>
      <c r="I115" s="7">
        <v>7.3</v>
      </c>
      <c r="J115" s="2" t="s">
        <v>755</v>
      </c>
      <c r="K115" s="2" t="s">
        <v>756</v>
      </c>
      <c r="L115" s="8" t="s">
        <v>757</v>
      </c>
      <c r="M115" s="9">
        <v>109.0</v>
      </c>
      <c r="N115" s="2" t="s">
        <v>758</v>
      </c>
      <c r="O115" s="2" t="s">
        <v>56</v>
      </c>
      <c r="P115" s="11">
        <v>5.0</v>
      </c>
      <c r="Q115" s="3"/>
      <c r="R115" s="8" t="s">
        <v>759</v>
      </c>
      <c r="S115" s="2" t="s">
        <v>28</v>
      </c>
    </row>
    <row r="116" ht="67.5" customHeight="1">
      <c r="A116" s="2" t="s">
        <v>760</v>
      </c>
      <c r="B116" s="3" t="str">
        <f>IMAGE("https://image.tmdb.org/t/p/w342/gEYKD5cWCBGg8Za3hhwDBk3gEsP.jpg")</f>
        <v/>
      </c>
      <c r="C116" s="2" t="s">
        <v>761</v>
      </c>
      <c r="D116" s="4">
        <v>40024.0</v>
      </c>
      <c r="E116" s="5">
        <v>2009.0</v>
      </c>
      <c r="F116" s="2" t="s">
        <v>21</v>
      </c>
      <c r="G116" s="6"/>
      <c r="H116" s="5">
        <v>20829.0</v>
      </c>
      <c r="I116" s="7">
        <v>5.89</v>
      </c>
      <c r="J116" s="2" t="s">
        <v>762</v>
      </c>
      <c r="K116" s="2" t="s">
        <v>763</v>
      </c>
      <c r="L116" s="8" t="s">
        <v>764</v>
      </c>
      <c r="M116" s="9">
        <v>146.0</v>
      </c>
      <c r="N116" s="2" t="s">
        <v>765</v>
      </c>
      <c r="O116" s="2" t="s">
        <v>56</v>
      </c>
      <c r="P116" s="11">
        <v>2.0</v>
      </c>
      <c r="Q116" s="3"/>
      <c r="R116" s="8" t="s">
        <v>766</v>
      </c>
      <c r="S116" s="2" t="s">
        <v>28</v>
      </c>
    </row>
    <row r="117" ht="67.5" customHeight="1">
      <c r="A117" s="2" t="s">
        <v>767</v>
      </c>
      <c r="B117" s="3" t="str">
        <f>IMAGE("https://image.tmdb.org/t/p/w342/pfte7wdMobMF4CVHuOxyu6oqeeA.jpg")</f>
        <v/>
      </c>
      <c r="C117" s="2" t="s">
        <v>768</v>
      </c>
      <c r="D117" s="4">
        <v>41927.0</v>
      </c>
      <c r="E117" s="5">
        <v>2014.0</v>
      </c>
      <c r="F117" s="2" t="s">
        <v>21</v>
      </c>
      <c r="G117" s="6"/>
      <c r="H117" s="5">
        <v>228150.0</v>
      </c>
      <c r="I117" s="7">
        <v>7.544</v>
      </c>
      <c r="J117" s="2" t="s">
        <v>769</v>
      </c>
      <c r="K117" s="2" t="s">
        <v>770</v>
      </c>
      <c r="L117" s="8" t="s">
        <v>771</v>
      </c>
      <c r="M117" s="9">
        <v>135.0</v>
      </c>
      <c r="N117" s="2" t="s">
        <v>772</v>
      </c>
      <c r="O117" s="2" t="s">
        <v>26</v>
      </c>
      <c r="P117" s="10"/>
      <c r="Q117" s="3"/>
      <c r="R117" s="8" t="s">
        <v>773</v>
      </c>
      <c r="S117" s="2" t="s">
        <v>28</v>
      </c>
    </row>
    <row r="118" ht="67.5" customHeight="1">
      <c r="A118" s="2" t="s">
        <v>774</v>
      </c>
      <c r="B118" s="3" t="str">
        <f>IMAGE("https://image.tmdb.org/t/p/w342/rJPbS2cYOYhDCjT5NmW1Fm6gFl3.jpg")</f>
        <v/>
      </c>
      <c r="C118" s="2" t="s">
        <v>775</v>
      </c>
      <c r="D118" s="4">
        <v>42089.0</v>
      </c>
      <c r="E118" s="5">
        <v>2015.0</v>
      </c>
      <c r="F118" s="2" t="s">
        <v>21</v>
      </c>
      <c r="G118" s="6"/>
      <c r="H118" s="5">
        <v>257091.0</v>
      </c>
      <c r="I118" s="7">
        <v>6.021</v>
      </c>
      <c r="J118" s="2" t="s">
        <v>146</v>
      </c>
      <c r="K118" s="2" t="s">
        <v>776</v>
      </c>
      <c r="L118" s="8" t="s">
        <v>777</v>
      </c>
      <c r="M118" s="9">
        <v>100.0</v>
      </c>
      <c r="N118" s="2" t="s">
        <v>778</v>
      </c>
      <c r="O118" s="2" t="s">
        <v>56</v>
      </c>
      <c r="P118" s="11">
        <v>1.0</v>
      </c>
      <c r="Q118" s="3"/>
      <c r="R118" s="8" t="s">
        <v>779</v>
      </c>
      <c r="S118" s="2" t="s">
        <v>28</v>
      </c>
    </row>
    <row r="119" ht="67.5" customHeight="1">
      <c r="A119" s="2" t="s">
        <v>780</v>
      </c>
      <c r="B119" s="3" t="str">
        <f>IMAGE("https://image.tmdb.org/t/p/w342/kIlzZJqV4SCGHrrjoGLBhmsO7z2.jpg")</f>
        <v/>
      </c>
      <c r="C119" s="2" t="s">
        <v>781</v>
      </c>
      <c r="D119" s="4">
        <v>37554.0</v>
      </c>
      <c r="E119" s="5">
        <v>2002.0</v>
      </c>
      <c r="F119" s="2" t="s">
        <v>21</v>
      </c>
      <c r="G119" s="6"/>
      <c r="H119" s="5">
        <v>9645.0</v>
      </c>
      <c r="I119" s="7">
        <v>6.0</v>
      </c>
      <c r="J119" s="2" t="s">
        <v>434</v>
      </c>
      <c r="K119" s="2" t="s">
        <v>782</v>
      </c>
      <c r="L119" s="8" t="s">
        <v>783</v>
      </c>
      <c r="M119" s="9">
        <v>91.0</v>
      </c>
      <c r="N119" s="2" t="s">
        <v>784</v>
      </c>
      <c r="O119" s="2" t="s">
        <v>56</v>
      </c>
      <c r="P119" s="11">
        <v>3.0</v>
      </c>
      <c r="Q119" s="3"/>
      <c r="R119" s="8" t="s">
        <v>785</v>
      </c>
      <c r="S119" s="2" t="s">
        <v>28</v>
      </c>
    </row>
    <row r="120" ht="67.5" customHeight="1">
      <c r="A120" s="2" t="s">
        <v>786</v>
      </c>
      <c r="B120" s="3" t="str">
        <f>IMAGE("https://image.tmdb.org/t/p/w342/jEyiGve8BLOCvi8R2tL8H52aLp4.jpg")</f>
        <v/>
      </c>
      <c r="C120" s="2" t="s">
        <v>787</v>
      </c>
      <c r="D120" s="4">
        <v>41040.0</v>
      </c>
      <c r="E120" s="5">
        <v>2011.0</v>
      </c>
      <c r="F120" s="2" t="s">
        <v>21</v>
      </c>
      <c r="G120" s="6"/>
      <c r="H120" s="5">
        <v>74306.0</v>
      </c>
      <c r="I120" s="7">
        <v>6.949</v>
      </c>
      <c r="J120" s="2" t="s">
        <v>788</v>
      </c>
      <c r="K120" s="2" t="s">
        <v>789</v>
      </c>
      <c r="L120" s="8" t="s">
        <v>790</v>
      </c>
      <c r="M120" s="9">
        <v>104.0</v>
      </c>
      <c r="N120" s="2" t="s">
        <v>791</v>
      </c>
      <c r="O120" s="2" t="s">
        <v>56</v>
      </c>
      <c r="P120" s="11">
        <v>5.0</v>
      </c>
      <c r="Q120" s="3"/>
      <c r="R120" s="8" t="s">
        <v>792</v>
      </c>
      <c r="S120" s="2" t="s">
        <v>28</v>
      </c>
    </row>
    <row r="121" ht="67.5" customHeight="1">
      <c r="A121" s="2" t="s">
        <v>793</v>
      </c>
      <c r="B121" s="3" t="str">
        <f>IMAGE("https://image.tmdb.org/t/p/w342/pgqgaUx1cJb5oZQQ5v0tNARCeBp.jpg")</f>
        <v/>
      </c>
      <c r="C121" s="2" t="s">
        <v>794</v>
      </c>
      <c r="D121" s="4">
        <v>44279.0</v>
      </c>
      <c r="E121" s="5">
        <v>2021.0</v>
      </c>
      <c r="F121" s="2" t="s">
        <v>21</v>
      </c>
      <c r="G121" s="6"/>
      <c r="H121" s="5">
        <v>399566.0</v>
      </c>
      <c r="I121" s="7">
        <v>7.5</v>
      </c>
      <c r="J121" s="2" t="s">
        <v>795</v>
      </c>
      <c r="K121" s="2" t="s">
        <v>796</v>
      </c>
      <c r="L121" s="8" t="s">
        <v>797</v>
      </c>
      <c r="M121" s="9">
        <v>114.0</v>
      </c>
      <c r="N121" s="2" t="s">
        <v>798</v>
      </c>
      <c r="O121" s="2" t="s">
        <v>26</v>
      </c>
      <c r="P121" s="10"/>
      <c r="Q121" s="3"/>
      <c r="R121" s="8" t="s">
        <v>799</v>
      </c>
      <c r="S121" s="2" t="s">
        <v>28</v>
      </c>
    </row>
    <row r="122" ht="67.5" customHeight="1">
      <c r="A122" s="2" t="s">
        <v>800</v>
      </c>
      <c r="B122" s="3" t="str">
        <f>IMAGE("https://image.tmdb.org/t/p/w342/mzOHg7Q5q9yUmY0b9Esu8Qe6Nnm.jpg")</f>
        <v/>
      </c>
      <c r="C122" s="2" t="s">
        <v>801</v>
      </c>
      <c r="D122" s="4">
        <v>43614.0</v>
      </c>
      <c r="E122" s="5">
        <v>2019.0</v>
      </c>
      <c r="F122" s="2" t="s">
        <v>21</v>
      </c>
      <c r="G122" s="6"/>
      <c r="H122" s="5">
        <v>373571.0</v>
      </c>
      <c r="I122" s="7">
        <v>6.7</v>
      </c>
      <c r="J122" s="2" t="s">
        <v>802</v>
      </c>
      <c r="K122" s="2" t="s">
        <v>803</v>
      </c>
      <c r="L122" s="8" t="s">
        <v>804</v>
      </c>
      <c r="M122" s="9">
        <v>132.0</v>
      </c>
      <c r="N122" s="2" t="s">
        <v>805</v>
      </c>
      <c r="O122" s="2" t="s">
        <v>26</v>
      </c>
      <c r="P122" s="10"/>
      <c r="Q122" s="3"/>
      <c r="R122" s="8" t="s">
        <v>806</v>
      </c>
      <c r="S122" s="2" t="s">
        <v>28</v>
      </c>
    </row>
    <row r="123" ht="67.5" customHeight="1">
      <c r="A123" s="2" t="s">
        <v>807</v>
      </c>
      <c r="B123" s="3" t="str">
        <f>IMAGE("https://image.tmdb.org/t/p/w342/fNqlsmu2tiI1bXcpU31yjHPkiJz.jpg")</f>
        <v/>
      </c>
      <c r="C123" s="2" t="s">
        <v>808</v>
      </c>
      <c r="D123" s="4">
        <v>43187.0</v>
      </c>
      <c r="E123" s="5">
        <v>2018.0</v>
      </c>
      <c r="F123" s="2" t="s">
        <v>21</v>
      </c>
      <c r="G123" s="6"/>
      <c r="H123" s="5">
        <v>508642.0</v>
      </c>
      <c r="I123" s="7">
        <v>7.3</v>
      </c>
      <c r="J123" s="2" t="s">
        <v>73</v>
      </c>
      <c r="K123" s="2" t="s">
        <v>809</v>
      </c>
      <c r="L123" s="8" t="s">
        <v>810</v>
      </c>
      <c r="M123" s="9">
        <v>95.0</v>
      </c>
      <c r="N123" s="2" t="s">
        <v>811</v>
      </c>
      <c r="O123" s="2" t="s">
        <v>26</v>
      </c>
      <c r="P123" s="10"/>
      <c r="Q123" s="3"/>
      <c r="R123" s="8" t="s">
        <v>812</v>
      </c>
      <c r="S123" s="2" t="s">
        <v>28</v>
      </c>
    </row>
    <row r="124" ht="67.5" customHeight="1">
      <c r="A124" s="2" t="s">
        <v>813</v>
      </c>
      <c r="B124" s="3" t="str">
        <f>IMAGE("https://image.tmdb.org/t/p/w342/xLmZCfJici1SdT6zmhDtGVWsXXi.jpg")</f>
        <v/>
      </c>
      <c r="C124" s="2" t="s">
        <v>814</v>
      </c>
      <c r="D124" s="4">
        <v>40914.0</v>
      </c>
      <c r="E124" s="5">
        <v>2011.0</v>
      </c>
      <c r="F124" s="2" t="s">
        <v>21</v>
      </c>
      <c r="G124" s="6"/>
      <c r="H124" s="5">
        <v>74387.0</v>
      </c>
      <c r="I124" s="7">
        <v>6.421</v>
      </c>
      <c r="J124" s="2" t="s">
        <v>762</v>
      </c>
      <c r="K124" s="2" t="s">
        <v>815</v>
      </c>
      <c r="L124" s="8" t="s">
        <v>816</v>
      </c>
      <c r="M124" s="9">
        <v>92.0</v>
      </c>
      <c r="N124" s="2" t="s">
        <v>817</v>
      </c>
      <c r="O124" s="2" t="s">
        <v>56</v>
      </c>
      <c r="P124" s="11">
        <v>4.0</v>
      </c>
      <c r="Q124" s="3"/>
      <c r="R124" s="8" t="s">
        <v>818</v>
      </c>
      <c r="S124" s="2" t="s">
        <v>28</v>
      </c>
    </row>
    <row r="125" ht="67.5" customHeight="1">
      <c r="A125" s="2" t="s">
        <v>819</v>
      </c>
      <c r="B125" s="3" t="str">
        <f>IMAGE("https://image.tmdb.org/t/p/w342/8vnsB3Rg9Gb91UOaecXRb7dYB37.jpg")</f>
        <v/>
      </c>
      <c r="C125" s="2" t="s">
        <v>820</v>
      </c>
      <c r="D125" s="4">
        <v>40795.0</v>
      </c>
      <c r="E125" s="5">
        <v>2011.0</v>
      </c>
      <c r="F125" s="2" t="s">
        <v>21</v>
      </c>
      <c r="G125" s="6"/>
      <c r="H125" s="5">
        <v>50698.0</v>
      </c>
      <c r="I125" s="7">
        <v>6.315</v>
      </c>
      <c r="J125" s="2" t="s">
        <v>80</v>
      </c>
      <c r="K125" s="2" t="s">
        <v>821</v>
      </c>
      <c r="L125" s="8" t="s">
        <v>822</v>
      </c>
      <c r="M125" s="9">
        <v>93.0</v>
      </c>
      <c r="N125" s="2" t="s">
        <v>823</v>
      </c>
      <c r="O125" s="2" t="s">
        <v>56</v>
      </c>
      <c r="P125" s="11">
        <v>4.0</v>
      </c>
      <c r="Q125" s="3"/>
      <c r="R125" s="8" t="s">
        <v>824</v>
      </c>
      <c r="S125" s="2" t="s">
        <v>28</v>
      </c>
    </row>
    <row r="126" ht="67.5" customHeight="1">
      <c r="A126" s="2" t="s">
        <v>825</v>
      </c>
      <c r="B126" s="3" t="str">
        <f>IMAGE("https://image.tmdb.org/t/p/w342/tyxfCBQv6Ap74jcu3xd7aBiaa29.jpg")</f>
        <v/>
      </c>
      <c r="C126" s="2" t="s">
        <v>826</v>
      </c>
      <c r="D126" s="4">
        <v>41403.0</v>
      </c>
      <c r="E126" s="5">
        <v>2013.0</v>
      </c>
      <c r="F126" s="2" t="s">
        <v>31</v>
      </c>
      <c r="G126" s="6"/>
      <c r="H126" s="5">
        <v>64682.0</v>
      </c>
      <c r="I126" s="7">
        <v>7.4</v>
      </c>
      <c r="J126" s="2" t="s">
        <v>827</v>
      </c>
      <c r="K126" s="2" t="s">
        <v>828</v>
      </c>
      <c r="L126" s="8" t="s">
        <v>829</v>
      </c>
      <c r="M126" s="9">
        <v>143.0</v>
      </c>
      <c r="N126" s="2" t="s">
        <v>830</v>
      </c>
      <c r="O126" s="2" t="s">
        <v>56</v>
      </c>
      <c r="P126" s="11">
        <v>4.0</v>
      </c>
      <c r="Q126" s="3"/>
      <c r="R126" s="8" t="s">
        <v>831</v>
      </c>
      <c r="S126" s="2" t="s">
        <v>28</v>
      </c>
    </row>
    <row r="127" ht="67.5" customHeight="1">
      <c r="A127" s="2" t="s">
        <v>832</v>
      </c>
      <c r="B127" s="3" t="str">
        <f>IMAGE("https://image.tmdb.org/t/p/w342/6m0F7fsXjQvUbCZrPWcJNrjvIui.jpg")</f>
        <v/>
      </c>
      <c r="C127" s="2" t="s">
        <v>833</v>
      </c>
      <c r="D127" s="4">
        <v>30841.0</v>
      </c>
      <c r="E127" s="5">
        <v>1984.0</v>
      </c>
      <c r="F127" s="2" t="s">
        <v>21</v>
      </c>
      <c r="G127" s="6"/>
      <c r="H127" s="5">
        <v>927.0</v>
      </c>
      <c r="I127" s="7">
        <v>7.142</v>
      </c>
      <c r="J127" s="2" t="s">
        <v>834</v>
      </c>
      <c r="K127" s="2" t="s">
        <v>835</v>
      </c>
      <c r="L127" s="8" t="s">
        <v>836</v>
      </c>
      <c r="M127" s="9">
        <v>106.0</v>
      </c>
      <c r="N127" s="2" t="s">
        <v>837</v>
      </c>
      <c r="O127" s="2" t="s">
        <v>56</v>
      </c>
      <c r="P127" s="11">
        <v>5.0</v>
      </c>
      <c r="Q127" s="3"/>
      <c r="R127" s="8" t="s">
        <v>838</v>
      </c>
      <c r="S127" s="2" t="s">
        <v>28</v>
      </c>
    </row>
    <row r="128" ht="67.5" customHeight="1">
      <c r="A128" s="2" t="s">
        <v>839</v>
      </c>
      <c r="B128" s="3" t="str">
        <f>IMAGE("https://image.tmdb.org/t/p/w342/35F5yD7MljvBE2AC0NHAVCoPGEi.jpg")</f>
        <v/>
      </c>
      <c r="C128" s="2" t="s">
        <v>840</v>
      </c>
      <c r="D128" s="4">
        <v>33039.0</v>
      </c>
      <c r="E128" s="5">
        <v>1990.0</v>
      </c>
      <c r="F128" s="2" t="s">
        <v>21</v>
      </c>
      <c r="G128" s="6"/>
      <c r="H128" s="5">
        <v>928.0</v>
      </c>
      <c r="I128" s="7">
        <v>6.525</v>
      </c>
      <c r="J128" s="2" t="s">
        <v>841</v>
      </c>
      <c r="K128" s="2" t="s">
        <v>842</v>
      </c>
      <c r="L128" s="8" t="s">
        <v>843</v>
      </c>
      <c r="M128" s="9">
        <v>106.0</v>
      </c>
      <c r="N128" s="2" t="s">
        <v>844</v>
      </c>
      <c r="O128" s="2" t="s">
        <v>26</v>
      </c>
      <c r="P128" s="10"/>
      <c r="Q128" s="3"/>
      <c r="R128" s="8" t="s">
        <v>845</v>
      </c>
      <c r="S128" s="2" t="s">
        <v>28</v>
      </c>
    </row>
    <row r="129" ht="67.5" customHeight="1">
      <c r="A129" s="2" t="s">
        <v>846</v>
      </c>
      <c r="B129" s="3" t="str">
        <f>IMAGE("https://image.tmdb.org/t/p/w342/vN7JHlHOT9rHNDU27tfYqhABBj5.jpg")</f>
        <v/>
      </c>
      <c r="C129" s="2" t="s">
        <v>847</v>
      </c>
      <c r="D129" s="4">
        <v>43830.0</v>
      </c>
      <c r="E129" s="5">
        <v>2019.0</v>
      </c>
      <c r="F129" s="2" t="s">
        <v>21</v>
      </c>
      <c r="G129" s="6"/>
      <c r="H129" s="5">
        <v>465086.0</v>
      </c>
      <c r="I129" s="7">
        <v>5.4</v>
      </c>
      <c r="J129" s="2" t="s">
        <v>73</v>
      </c>
      <c r="K129" s="2" t="s">
        <v>848</v>
      </c>
      <c r="L129" s="8" t="s">
        <v>849</v>
      </c>
      <c r="M129" s="9">
        <v>94.0</v>
      </c>
      <c r="N129" s="2" t="s">
        <v>850</v>
      </c>
      <c r="O129" s="2" t="s">
        <v>56</v>
      </c>
      <c r="P129" s="11">
        <v>2.0</v>
      </c>
      <c r="Q129" s="3"/>
      <c r="R129" s="8" t="s">
        <v>851</v>
      </c>
      <c r="S129" s="2" t="s">
        <v>28</v>
      </c>
    </row>
    <row r="130" ht="67.5" customHeight="1">
      <c r="A130" s="2" t="s">
        <v>852</v>
      </c>
      <c r="B130" s="3" t="str">
        <f>IMAGE("https://image.tmdb.org/t/p/w342/7vPAVPKYexQVmvC578wPLn2CGCL.jpg")</f>
        <v/>
      </c>
      <c r="C130" s="2" t="s">
        <v>847</v>
      </c>
      <c r="D130" s="4">
        <v>38282.0</v>
      </c>
      <c r="E130" s="5">
        <v>2004.0</v>
      </c>
      <c r="F130" s="2" t="s">
        <v>21</v>
      </c>
      <c r="G130" s="6"/>
      <c r="H130" s="5">
        <v>1970.0</v>
      </c>
      <c r="I130" s="7">
        <v>5.929</v>
      </c>
      <c r="J130" s="2" t="s">
        <v>434</v>
      </c>
      <c r="K130" s="2" t="s">
        <v>853</v>
      </c>
      <c r="L130" s="8" t="s">
        <v>854</v>
      </c>
      <c r="M130" s="9">
        <v>92.0</v>
      </c>
      <c r="N130" s="2" t="s">
        <v>855</v>
      </c>
      <c r="O130" s="2" t="s">
        <v>56</v>
      </c>
      <c r="P130" s="11">
        <v>4.0</v>
      </c>
      <c r="Q130" s="3"/>
      <c r="R130" s="8" t="s">
        <v>856</v>
      </c>
      <c r="S130" s="2" t="s">
        <v>28</v>
      </c>
    </row>
    <row r="131" ht="67.5" customHeight="1">
      <c r="A131" s="2" t="s">
        <v>857</v>
      </c>
      <c r="B131" s="3" t="str">
        <f>IMAGE("https://image.tmdb.org/t/p/w342/oHLeYXqA8P0jVIY2C8kQFyQTzkr.jpg")</f>
        <v/>
      </c>
      <c r="C131" s="2" t="s">
        <v>858</v>
      </c>
      <c r="D131" s="4">
        <v>39002.0</v>
      </c>
      <c r="E131" s="5">
        <v>2006.0</v>
      </c>
      <c r="F131" s="2" t="s">
        <v>21</v>
      </c>
      <c r="G131" s="6"/>
      <c r="H131" s="5">
        <v>1975.0</v>
      </c>
      <c r="I131" s="7">
        <v>5.575</v>
      </c>
      <c r="J131" s="2" t="s">
        <v>39</v>
      </c>
      <c r="K131" s="2" t="s">
        <v>859</v>
      </c>
      <c r="L131" s="8" t="s">
        <v>860</v>
      </c>
      <c r="M131" s="9">
        <v>102.0</v>
      </c>
      <c r="N131" s="2" t="s">
        <v>861</v>
      </c>
      <c r="O131" s="2" t="s">
        <v>56</v>
      </c>
      <c r="P131" s="11">
        <v>5.0</v>
      </c>
      <c r="Q131" s="3"/>
      <c r="R131" s="8" t="s">
        <v>862</v>
      </c>
      <c r="S131" s="2" t="s">
        <v>28</v>
      </c>
    </row>
    <row r="132" ht="67.5" customHeight="1">
      <c r="A132" s="2" t="s">
        <v>863</v>
      </c>
      <c r="B132" s="3" t="str">
        <f>IMAGE("https://image.tmdb.org/t/p/w342/uEOWWRr8BbgPM0BiJiSTwHGaRx4.jpg")</f>
        <v/>
      </c>
      <c r="C132" s="2" t="s">
        <v>864</v>
      </c>
      <c r="D132" s="4">
        <v>39945.0</v>
      </c>
      <c r="E132" s="5">
        <v>2009.0</v>
      </c>
      <c r="F132" s="2" t="s">
        <v>21</v>
      </c>
      <c r="G132" s="6"/>
      <c r="H132" s="5">
        <v>1977.0</v>
      </c>
      <c r="I132" s="7">
        <v>5.426</v>
      </c>
      <c r="J132" s="2" t="s">
        <v>865</v>
      </c>
      <c r="K132" s="2" t="s">
        <v>866</v>
      </c>
      <c r="L132" s="8" t="s">
        <v>867</v>
      </c>
      <c r="M132" s="9">
        <v>90.0</v>
      </c>
      <c r="N132" s="2" t="s">
        <v>868</v>
      </c>
      <c r="O132" s="2" t="s">
        <v>56</v>
      </c>
      <c r="P132" s="11">
        <v>5.0</v>
      </c>
      <c r="Q132" s="3"/>
      <c r="R132" s="8" t="s">
        <v>869</v>
      </c>
      <c r="S132" s="2" t="s">
        <v>28</v>
      </c>
    </row>
    <row r="133" ht="67.5" customHeight="1">
      <c r="A133" s="2" t="s">
        <v>870</v>
      </c>
      <c r="B133" s="3" t="str">
        <f>IMAGE("https://image.tmdb.org/t/p/w342/r7vmZjiyZw9rpJMQJdXpjgiCOk9.jpg")</f>
        <v/>
      </c>
      <c r="C133" s="2" t="s">
        <v>871</v>
      </c>
      <c r="D133" s="4">
        <v>41850.0</v>
      </c>
      <c r="E133" s="5">
        <v>2014.0</v>
      </c>
      <c r="F133" s="2" t="s">
        <v>21</v>
      </c>
      <c r="G133" s="6"/>
      <c r="H133" s="5">
        <v>118340.0</v>
      </c>
      <c r="I133" s="7">
        <v>7.9</v>
      </c>
      <c r="J133" s="2" t="s">
        <v>795</v>
      </c>
      <c r="K133" s="2" t="s">
        <v>872</v>
      </c>
      <c r="L133" s="8" t="s">
        <v>873</v>
      </c>
      <c r="M133" s="9">
        <v>121.0</v>
      </c>
      <c r="N133" s="2" t="s">
        <v>874</v>
      </c>
      <c r="O133" s="2" t="s">
        <v>56</v>
      </c>
      <c r="P133" s="11">
        <v>4.0</v>
      </c>
      <c r="Q133" s="3"/>
      <c r="R133" s="8" t="s">
        <v>875</v>
      </c>
      <c r="S133" s="2" t="s">
        <v>28</v>
      </c>
    </row>
    <row r="134" ht="67.5" customHeight="1">
      <c r="A134" s="2" t="s">
        <v>876</v>
      </c>
      <c r="B134" s="3" t="str">
        <f>IMAGE("https://image.tmdb.org/t/p/w342/fnOMP6mjmOmZwmlC1n0K7ivrzt1.jpg")</f>
        <v/>
      </c>
      <c r="C134" s="2" t="s">
        <v>877</v>
      </c>
      <c r="D134" s="4">
        <v>42650.0</v>
      </c>
      <c r="E134" s="5">
        <v>2016.0</v>
      </c>
      <c r="F134" s="2" t="s">
        <v>31</v>
      </c>
      <c r="G134" s="6"/>
      <c r="H134" s="5">
        <v>324786.0</v>
      </c>
      <c r="I134" s="7">
        <v>8.2</v>
      </c>
      <c r="J134" s="2" t="s">
        <v>878</v>
      </c>
      <c r="K134" s="2" t="s">
        <v>879</v>
      </c>
      <c r="L134" s="8" t="s">
        <v>880</v>
      </c>
      <c r="M134" s="9">
        <v>139.0</v>
      </c>
      <c r="N134" s="2" t="s">
        <v>881</v>
      </c>
      <c r="O134" s="2" t="s">
        <v>26</v>
      </c>
      <c r="P134" s="10"/>
      <c r="Q134" s="3"/>
      <c r="R134" s="8" t="s">
        <v>882</v>
      </c>
      <c r="S134" s="2" t="s">
        <v>28</v>
      </c>
    </row>
    <row r="135" ht="67.5" customHeight="1">
      <c r="A135" s="2" t="s">
        <v>883</v>
      </c>
      <c r="B135" s="3" t="str">
        <f>IMAGE("https://image.tmdb.org/t/p/w342/wijlZ3HaYMvlDTPqJoTCWKFkCPU.jpg")</f>
        <v/>
      </c>
      <c r="C135" s="2" t="s">
        <v>884</v>
      </c>
      <c r="D135" s="4">
        <v>28787.0</v>
      </c>
      <c r="E135" s="5">
        <v>2018.0</v>
      </c>
      <c r="F135" s="2" t="s">
        <v>21</v>
      </c>
      <c r="G135" s="6"/>
      <c r="H135" s="5">
        <v>948.0</v>
      </c>
      <c r="I135" s="7">
        <v>7.558</v>
      </c>
      <c r="J135" s="2" t="s">
        <v>39</v>
      </c>
      <c r="K135" s="2" t="s">
        <v>885</v>
      </c>
      <c r="L135" s="8" t="s">
        <v>886</v>
      </c>
      <c r="M135" s="9">
        <v>91.0</v>
      </c>
      <c r="N135" s="2" t="s">
        <v>887</v>
      </c>
      <c r="O135" s="2" t="s">
        <v>56</v>
      </c>
      <c r="P135" s="11">
        <v>3.0</v>
      </c>
      <c r="Q135" s="3"/>
      <c r="R135" s="8" t="s">
        <v>888</v>
      </c>
      <c r="S135" s="2" t="s">
        <v>28</v>
      </c>
    </row>
    <row r="136" ht="67.5" customHeight="1">
      <c r="A136" s="2" t="s">
        <v>889</v>
      </c>
      <c r="B136" s="3" t="str">
        <f>IMAGE("https://image.tmdb.org/t/p/w342/cD8JrfSEI4j7WVnKM1GdiYzMoUh.jpg")</f>
        <v/>
      </c>
      <c r="C136" s="2" t="s">
        <v>884</v>
      </c>
      <c r="D136" s="4">
        <v>39325.0</v>
      </c>
      <c r="E136" s="5">
        <v>2007.0</v>
      </c>
      <c r="F136" s="2" t="s">
        <v>21</v>
      </c>
      <c r="G136" s="6"/>
      <c r="H136" s="5">
        <v>2082.0</v>
      </c>
      <c r="I136" s="7">
        <v>6.236</v>
      </c>
      <c r="J136" s="2" t="s">
        <v>93</v>
      </c>
      <c r="K136" s="2" t="s">
        <v>890</v>
      </c>
      <c r="L136" s="8" t="s">
        <v>891</v>
      </c>
      <c r="M136" s="9">
        <v>110.0</v>
      </c>
      <c r="N136" s="2" t="s">
        <v>892</v>
      </c>
      <c r="O136" s="2" t="s">
        <v>56</v>
      </c>
      <c r="P136" s="11">
        <v>5.0</v>
      </c>
      <c r="Q136" s="3"/>
      <c r="R136" s="8" t="s">
        <v>893</v>
      </c>
      <c r="S136" s="2" t="s">
        <v>28</v>
      </c>
    </row>
    <row r="137" ht="67.5" customHeight="1">
      <c r="A137" s="2" t="s">
        <v>894</v>
      </c>
      <c r="B137" s="3" t="str">
        <f>IMAGE("https://image.tmdb.org/t/p/w342/q06saepaXeBdkMibuN4R2fXmgIw.jpg")</f>
        <v/>
      </c>
      <c r="C137" s="2" t="s">
        <v>895</v>
      </c>
      <c r="D137" s="4">
        <v>44846.0</v>
      </c>
      <c r="E137" s="5">
        <v>2022.0</v>
      </c>
      <c r="F137" s="2" t="s">
        <v>21</v>
      </c>
      <c r="G137" s="6"/>
      <c r="H137" s="5">
        <v>616820.0</v>
      </c>
      <c r="I137" s="7">
        <v>6.033</v>
      </c>
      <c r="J137" s="2" t="s">
        <v>39</v>
      </c>
      <c r="K137" s="2" t="s">
        <v>896</v>
      </c>
      <c r="L137" s="8" t="s">
        <v>897</v>
      </c>
      <c r="M137" s="9">
        <v>111.0</v>
      </c>
      <c r="N137" s="2" t="s">
        <v>898</v>
      </c>
      <c r="O137" s="2" t="s">
        <v>26</v>
      </c>
      <c r="P137" s="10"/>
      <c r="Q137" s="3"/>
      <c r="R137" s="8" t="s">
        <v>899</v>
      </c>
      <c r="S137" s="2" t="s">
        <v>28</v>
      </c>
    </row>
    <row r="138" ht="67.5" customHeight="1">
      <c r="A138" s="2" t="s">
        <v>900</v>
      </c>
      <c r="B138" s="3" t="str">
        <f>IMAGE("https://image.tmdb.org/t/p/w342/vSHPM4LQDpWdQrD5KZWK6wNqSOD.jpg")</f>
        <v/>
      </c>
      <c r="C138" s="2" t="s">
        <v>901</v>
      </c>
      <c r="D138" s="4">
        <v>40053.0</v>
      </c>
      <c r="E138" s="5">
        <v>2009.0</v>
      </c>
      <c r="F138" s="2" t="s">
        <v>21</v>
      </c>
      <c r="G138" s="6"/>
      <c r="H138" s="5">
        <v>24150.0</v>
      </c>
      <c r="I138" s="7">
        <v>5.319</v>
      </c>
      <c r="J138" s="2" t="s">
        <v>93</v>
      </c>
      <c r="K138" s="2" t="s">
        <v>902</v>
      </c>
      <c r="L138" s="8" t="s">
        <v>903</v>
      </c>
      <c r="M138" s="9">
        <v>105.0</v>
      </c>
      <c r="N138" s="2" t="s">
        <v>904</v>
      </c>
      <c r="O138" s="2" t="s">
        <v>56</v>
      </c>
      <c r="P138" s="11">
        <v>5.0</v>
      </c>
      <c r="Q138" s="3"/>
      <c r="R138" s="8" t="s">
        <v>905</v>
      </c>
      <c r="S138" s="2" t="s">
        <v>28</v>
      </c>
    </row>
    <row r="139" ht="67.5" customHeight="1">
      <c r="A139" s="2" t="s">
        <v>906</v>
      </c>
      <c r="B139" s="3" t="str">
        <f>IMAGE("https://image.tmdb.org/t/p/w342/3nX5HHGgOKaVMxXwMLT9DHO1Ne6.jpg")</f>
        <v/>
      </c>
      <c r="C139" s="2" t="s">
        <v>901</v>
      </c>
      <c r="D139" s="4">
        <v>29889.0</v>
      </c>
      <c r="E139" s="5">
        <v>1981.0</v>
      </c>
      <c r="F139" s="2" t="s">
        <v>21</v>
      </c>
      <c r="G139" s="6"/>
      <c r="H139" s="5">
        <v>11281.0</v>
      </c>
      <c r="I139" s="7">
        <v>6.6</v>
      </c>
      <c r="J139" s="2" t="s">
        <v>93</v>
      </c>
      <c r="K139" s="2" t="s">
        <v>907</v>
      </c>
      <c r="L139" s="8" t="s">
        <v>908</v>
      </c>
      <c r="M139" s="9">
        <v>92.0</v>
      </c>
      <c r="N139" s="2" t="s">
        <v>909</v>
      </c>
      <c r="O139" s="2" t="s">
        <v>26</v>
      </c>
      <c r="P139" s="10"/>
      <c r="Q139" s="3"/>
      <c r="R139" s="8" t="s">
        <v>910</v>
      </c>
      <c r="S139" s="2" t="s">
        <v>28</v>
      </c>
    </row>
    <row r="140" ht="67.5" customHeight="1">
      <c r="A140" s="2" t="s">
        <v>911</v>
      </c>
      <c r="B140" s="3" t="str">
        <f>IMAGE("https://image.tmdb.org/t/p/w342/WABfdeaThFYXCySGIOvRNv2sSW.jpg")</f>
        <v/>
      </c>
      <c r="C140" s="2" t="s">
        <v>912</v>
      </c>
      <c r="D140" s="4">
        <v>30246.0</v>
      </c>
      <c r="E140" s="5">
        <v>1982.0</v>
      </c>
      <c r="F140" s="2" t="s">
        <v>21</v>
      </c>
      <c r="G140" s="6"/>
      <c r="H140" s="5">
        <v>10676.0</v>
      </c>
      <c r="I140" s="7">
        <v>5.247</v>
      </c>
      <c r="J140" s="2" t="s">
        <v>913</v>
      </c>
      <c r="K140" s="2" t="s">
        <v>914</v>
      </c>
      <c r="L140" s="8" t="s">
        <v>915</v>
      </c>
      <c r="M140" s="9">
        <v>98.0</v>
      </c>
      <c r="N140" s="2" t="s">
        <v>916</v>
      </c>
      <c r="O140" s="2" t="s">
        <v>26</v>
      </c>
      <c r="P140" s="10"/>
      <c r="Q140" s="3"/>
      <c r="R140" s="8" t="s">
        <v>917</v>
      </c>
      <c r="S140" s="2" t="s">
        <v>28</v>
      </c>
    </row>
    <row r="141" ht="67.5" customHeight="1">
      <c r="A141" s="2" t="s">
        <v>918</v>
      </c>
      <c r="B141" s="3" t="str">
        <f>IMAGE("https://image.tmdb.org/t/p/w342/ir9eyz1mtgsohjvo7UYtqUfFuES.jpg")</f>
        <v/>
      </c>
      <c r="C141" s="2" t="s">
        <v>919</v>
      </c>
      <c r="D141" s="4">
        <v>44483.0</v>
      </c>
      <c r="E141" s="5">
        <v>2021.0</v>
      </c>
      <c r="F141" s="2" t="s">
        <v>21</v>
      </c>
      <c r="G141" s="6"/>
      <c r="H141" s="5">
        <v>610253.0</v>
      </c>
      <c r="I141" s="7">
        <v>6.408</v>
      </c>
      <c r="J141" s="2" t="s">
        <v>93</v>
      </c>
      <c r="K141" s="2" t="s">
        <v>920</v>
      </c>
      <c r="L141" s="8" t="s">
        <v>921</v>
      </c>
      <c r="M141" s="9">
        <v>105.0</v>
      </c>
      <c r="N141" s="2" t="s">
        <v>922</v>
      </c>
      <c r="O141" s="2" t="s">
        <v>26</v>
      </c>
      <c r="P141" s="10"/>
      <c r="Q141" s="3"/>
      <c r="R141" s="8" t="s">
        <v>923</v>
      </c>
      <c r="S141" s="2" t="s">
        <v>28</v>
      </c>
    </row>
    <row r="142" ht="67.5" customHeight="1">
      <c r="A142" s="2" t="s">
        <v>924</v>
      </c>
      <c r="B142" s="3" t="str">
        <f>IMAGE("https://image.tmdb.org/t/p/w342/7DyuV2G0hLEqHeueDfOqhZ2DVut.jpg")</f>
        <v/>
      </c>
      <c r="C142" s="2" t="s">
        <v>925</v>
      </c>
      <c r="D142" s="4">
        <v>39630.0</v>
      </c>
      <c r="E142" s="5">
        <v>2008.0</v>
      </c>
      <c r="F142" s="2" t="s">
        <v>21</v>
      </c>
      <c r="G142" s="6"/>
      <c r="H142" s="5">
        <v>8960.0</v>
      </c>
      <c r="I142" s="7">
        <v>6.354</v>
      </c>
      <c r="J142" s="2" t="s">
        <v>926</v>
      </c>
      <c r="K142" s="2" t="s">
        <v>927</v>
      </c>
      <c r="L142" s="8" t="s">
        <v>928</v>
      </c>
      <c r="M142" s="9">
        <v>92.0</v>
      </c>
      <c r="N142" s="2" t="s">
        <v>929</v>
      </c>
      <c r="O142" s="2" t="s">
        <v>56</v>
      </c>
      <c r="P142" s="11">
        <v>4.0</v>
      </c>
      <c r="Q142" s="3"/>
      <c r="R142" s="8" t="s">
        <v>930</v>
      </c>
      <c r="S142" s="2" t="s">
        <v>28</v>
      </c>
    </row>
    <row r="143" ht="67.5" customHeight="1">
      <c r="A143" s="2" t="s">
        <v>931</v>
      </c>
      <c r="B143" s="3" t="str">
        <f>IMAGE("https://image.tmdb.org/t/p/w342/A0uS9rHR56FeBtpjVki16M5xxSW.jpg")</f>
        <v/>
      </c>
      <c r="C143" s="2" t="s">
        <v>932</v>
      </c>
      <c r="D143" s="4">
        <v>39966.0</v>
      </c>
      <c r="E143" s="5">
        <v>2009.0</v>
      </c>
      <c r="F143" s="2" t="s">
        <v>21</v>
      </c>
      <c r="G143" s="6"/>
      <c r="H143" s="5">
        <v>18785.0</v>
      </c>
      <c r="I143" s="7">
        <v>7.331</v>
      </c>
      <c r="J143" s="2" t="s">
        <v>146</v>
      </c>
      <c r="K143" s="2" t="s">
        <v>933</v>
      </c>
      <c r="L143" s="8" t="s">
        <v>934</v>
      </c>
      <c r="M143" s="9">
        <v>100.0</v>
      </c>
      <c r="N143" s="2" t="s">
        <v>935</v>
      </c>
      <c r="O143" s="2" t="s">
        <v>56</v>
      </c>
      <c r="P143" s="11">
        <v>5.0</v>
      </c>
      <c r="Q143" s="3"/>
      <c r="R143" s="8" t="s">
        <v>936</v>
      </c>
      <c r="S143" s="2" t="s">
        <v>28</v>
      </c>
    </row>
    <row r="144" ht="67.5" customHeight="1">
      <c r="A144" s="2" t="s">
        <v>937</v>
      </c>
      <c r="B144" s="3" t="str">
        <f>IMAGE("https://image.tmdb.org/t/p/w342/cKZu0Fdkj7dmwbfMpgDqVVCkLJQ.jpg")</f>
        <v/>
      </c>
      <c r="C144" s="2" t="s">
        <v>938</v>
      </c>
      <c r="D144" s="4">
        <v>40688.0</v>
      </c>
      <c r="E144" s="5">
        <v>2011.0</v>
      </c>
      <c r="F144" s="2" t="s">
        <v>21</v>
      </c>
      <c r="G144" s="6"/>
      <c r="H144" s="5">
        <v>45243.0</v>
      </c>
      <c r="I144" s="7">
        <v>6.5</v>
      </c>
      <c r="J144" s="2" t="s">
        <v>146</v>
      </c>
      <c r="K144" s="2" t="s">
        <v>939</v>
      </c>
      <c r="L144" s="8" t="s">
        <v>940</v>
      </c>
      <c r="M144" s="9">
        <v>102.0</v>
      </c>
      <c r="N144" s="2" t="s">
        <v>941</v>
      </c>
      <c r="O144" s="2" t="s">
        <v>56</v>
      </c>
      <c r="P144" s="11">
        <v>3.0</v>
      </c>
      <c r="Q144" s="3"/>
      <c r="R144" s="8" t="s">
        <v>942</v>
      </c>
      <c r="S144" s="2" t="s">
        <v>28</v>
      </c>
    </row>
    <row r="145" ht="67.5" customHeight="1">
      <c r="A145" s="2" t="s">
        <v>943</v>
      </c>
      <c r="B145" s="3" t="str">
        <f>IMAGE("https://image.tmdb.org/t/p/w342/vtxuPWkdllLNLVyGjKYa267ntuH.jpg")</f>
        <v/>
      </c>
      <c r="C145" s="2" t="s">
        <v>944</v>
      </c>
      <c r="D145" s="4">
        <v>41417.0</v>
      </c>
      <c r="E145" s="5">
        <v>2013.0</v>
      </c>
      <c r="F145" s="2" t="s">
        <v>21</v>
      </c>
      <c r="G145" s="6"/>
      <c r="H145" s="5">
        <v>109439.0</v>
      </c>
      <c r="I145" s="7">
        <v>6.2</v>
      </c>
      <c r="J145" s="2" t="s">
        <v>146</v>
      </c>
      <c r="K145" s="2" t="s">
        <v>945</v>
      </c>
      <c r="L145" s="8" t="s">
        <v>946</v>
      </c>
      <c r="M145" s="9">
        <v>100.0</v>
      </c>
      <c r="N145" s="2" t="s">
        <v>947</v>
      </c>
      <c r="O145" s="2" t="s">
        <v>56</v>
      </c>
      <c r="P145" s="11">
        <v>3.0</v>
      </c>
      <c r="Q145" s="3"/>
      <c r="R145" s="8" t="s">
        <v>948</v>
      </c>
      <c r="S145" s="2" t="s">
        <v>28</v>
      </c>
    </row>
    <row r="146" ht="67.5" customHeight="1">
      <c r="A146" s="2" t="s">
        <v>949</v>
      </c>
      <c r="B146" s="3" t="str">
        <f>IMAGE("https://image.tmdb.org/t/p/w342/rYfUcEV88Z3gENrfYTE6i8yBkDr.jpg")</f>
        <v/>
      </c>
      <c r="C146" s="2" t="s">
        <v>950</v>
      </c>
      <c r="D146" s="4">
        <v>36079.0</v>
      </c>
      <c r="E146" s="5">
        <v>1998.0</v>
      </c>
      <c r="F146" s="2" t="s">
        <v>31</v>
      </c>
      <c r="G146" s="6"/>
      <c r="H146" s="5">
        <v>10683.0</v>
      </c>
      <c r="I146" s="7">
        <v>7.43</v>
      </c>
      <c r="J146" s="2" t="s">
        <v>762</v>
      </c>
      <c r="K146" s="2" t="s">
        <v>951</v>
      </c>
      <c r="L146" s="8" t="s">
        <v>952</v>
      </c>
      <c r="M146" s="9">
        <v>140.0</v>
      </c>
      <c r="N146" s="2" t="s">
        <v>953</v>
      </c>
      <c r="O146" s="2" t="s">
        <v>26</v>
      </c>
      <c r="P146" s="10"/>
      <c r="Q146" s="3"/>
      <c r="R146" s="8" t="s">
        <v>954</v>
      </c>
      <c r="S146" s="2" t="s">
        <v>28</v>
      </c>
    </row>
    <row r="147" ht="67.5" customHeight="1">
      <c r="A147" s="2" t="s">
        <v>955</v>
      </c>
      <c r="B147" s="3" t="str">
        <f>IMAGE("https://image.tmdb.org/t/p/w342/4RnCeRzvI1xk5tuNWjpDKzSnJDk.jpg")</f>
        <v/>
      </c>
      <c r="C147" s="2" t="s">
        <v>956</v>
      </c>
      <c r="D147" s="4">
        <v>35111.0</v>
      </c>
      <c r="E147" s="5">
        <v>1996.0</v>
      </c>
      <c r="F147" s="2" t="s">
        <v>31</v>
      </c>
      <c r="G147" s="6"/>
      <c r="H147" s="5">
        <v>9614.0</v>
      </c>
      <c r="I147" s="7">
        <v>6.7</v>
      </c>
      <c r="J147" s="2" t="s">
        <v>146</v>
      </c>
      <c r="K147" s="2" t="s">
        <v>957</v>
      </c>
      <c r="L147" s="8" t="s">
        <v>958</v>
      </c>
      <c r="M147" s="9">
        <v>92.0</v>
      </c>
      <c r="N147" s="2" t="s">
        <v>959</v>
      </c>
      <c r="O147" s="2" t="s">
        <v>56</v>
      </c>
      <c r="P147" s="11">
        <v>5.0</v>
      </c>
      <c r="Q147" s="3"/>
      <c r="R147" s="8" t="s">
        <v>960</v>
      </c>
      <c r="S147" s="2" t="s">
        <v>28</v>
      </c>
    </row>
    <row r="148" ht="67.5" customHeight="1">
      <c r="A148" s="2" t="s">
        <v>961</v>
      </c>
      <c r="B148" s="3" t="str">
        <f>IMAGE("https://image.tmdb.org/t/p/w342/gmXKlm8c8O7JEISYP4WiWq2x3We.jpg")</f>
        <v/>
      </c>
      <c r="C148" s="2" t="s">
        <v>962</v>
      </c>
      <c r="D148" s="4">
        <v>39563.0</v>
      </c>
      <c r="E148" s="5">
        <v>2008.0</v>
      </c>
      <c r="F148" s="2" t="s">
        <v>21</v>
      </c>
      <c r="G148" s="6"/>
      <c r="H148" s="5">
        <v>13335.0</v>
      </c>
      <c r="I148" s="7">
        <v>6.3</v>
      </c>
      <c r="J148" s="2" t="s">
        <v>963</v>
      </c>
      <c r="K148" s="2" t="s">
        <v>964</v>
      </c>
      <c r="L148" s="8" t="s">
        <v>965</v>
      </c>
      <c r="M148" s="9">
        <v>101.0</v>
      </c>
      <c r="N148" s="2" t="s">
        <v>966</v>
      </c>
      <c r="O148" s="2" t="s">
        <v>56</v>
      </c>
      <c r="P148" s="11">
        <v>4.0</v>
      </c>
      <c r="Q148" s="3"/>
      <c r="R148" s="8" t="s">
        <v>967</v>
      </c>
      <c r="S148" s="2" t="s">
        <v>28</v>
      </c>
    </row>
    <row r="149" ht="67.5" customHeight="1">
      <c r="A149" s="2" t="s">
        <v>968</v>
      </c>
      <c r="B149" s="3" t="str">
        <f>IMAGE("https://image.tmdb.org/t/p/w342/5vO7R4xYlDipTp8gzfRbWegO8eb.jpg")</f>
        <v/>
      </c>
      <c r="C149" s="2" t="s">
        <v>969</v>
      </c>
      <c r="D149" s="4">
        <v>38170.0</v>
      </c>
      <c r="E149" s="5">
        <v>2004.0</v>
      </c>
      <c r="F149" s="2" t="s">
        <v>21</v>
      </c>
      <c r="G149" s="6"/>
      <c r="H149" s="5">
        <v>11282.0</v>
      </c>
      <c r="I149" s="7">
        <v>6.558</v>
      </c>
      <c r="J149" s="2" t="s">
        <v>963</v>
      </c>
      <c r="K149" s="2" t="s">
        <v>970</v>
      </c>
      <c r="L149" s="8" t="s">
        <v>971</v>
      </c>
      <c r="M149" s="9">
        <v>88.0</v>
      </c>
      <c r="N149" s="2" t="s">
        <v>972</v>
      </c>
      <c r="O149" s="2" t="s">
        <v>56</v>
      </c>
      <c r="P149" s="11">
        <v>5.0</v>
      </c>
      <c r="Q149" s="3"/>
      <c r="R149" s="8" t="s">
        <v>973</v>
      </c>
      <c r="S149" s="2" t="s">
        <v>28</v>
      </c>
    </row>
    <row r="150" ht="67.5" customHeight="1">
      <c r="A150" s="2" t="s">
        <v>974</v>
      </c>
      <c r="B150" s="3"/>
      <c r="C150" s="2" t="s">
        <v>975</v>
      </c>
      <c r="D150" s="12"/>
      <c r="E150" s="5">
        <v>2020.0</v>
      </c>
      <c r="F150" s="2" t="s">
        <v>21</v>
      </c>
      <c r="G150" s="6"/>
      <c r="H150" s="3"/>
      <c r="I150" s="13"/>
      <c r="J150" s="3"/>
      <c r="K150" s="3"/>
      <c r="L150" s="3"/>
      <c r="M150" s="14"/>
      <c r="N150" s="3"/>
      <c r="O150" s="2" t="s">
        <v>56</v>
      </c>
      <c r="P150" s="11">
        <v>5.0</v>
      </c>
      <c r="Q150" s="3"/>
      <c r="R150" s="3"/>
      <c r="S150" s="2" t="s">
        <v>272</v>
      </c>
    </row>
    <row r="151" ht="67.5" customHeight="1">
      <c r="A151" s="2" t="s">
        <v>976</v>
      </c>
      <c r="B151" s="3"/>
      <c r="C151" s="2" t="s">
        <v>977</v>
      </c>
      <c r="D151" s="12"/>
      <c r="E151" s="5">
        <v>2018.0</v>
      </c>
      <c r="F151" s="2" t="s">
        <v>21</v>
      </c>
      <c r="G151" s="6"/>
      <c r="H151" s="3"/>
      <c r="I151" s="13"/>
      <c r="J151" s="3"/>
      <c r="K151" s="3"/>
      <c r="L151" s="3"/>
      <c r="M151" s="14"/>
      <c r="N151" s="3"/>
      <c r="O151" s="2" t="s">
        <v>56</v>
      </c>
      <c r="P151" s="11">
        <v>5.0</v>
      </c>
      <c r="Q151" s="3"/>
      <c r="R151" s="3"/>
      <c r="S151" s="2" t="s">
        <v>272</v>
      </c>
    </row>
    <row r="152" ht="67.5" customHeight="1">
      <c r="A152" s="2" t="s">
        <v>978</v>
      </c>
      <c r="B152" s="3" t="str">
        <f>IMAGE("https://image.tmdb.org/t/p/w342/qgLlnlrUtTKXkdrgMBwUfkyAkya.jpg")</f>
        <v/>
      </c>
      <c r="C152" s="2" t="s">
        <v>979</v>
      </c>
      <c r="D152" s="4">
        <v>43370.0</v>
      </c>
      <c r="E152" s="5">
        <v>2018.0</v>
      </c>
      <c r="F152" s="2" t="s">
        <v>21</v>
      </c>
      <c r="G152" s="6"/>
      <c r="H152" s="5">
        <v>429476.0</v>
      </c>
      <c r="I152" s="7">
        <v>5.676</v>
      </c>
      <c r="J152" s="2" t="s">
        <v>39</v>
      </c>
      <c r="K152" s="2" t="s">
        <v>980</v>
      </c>
      <c r="L152" s="8" t="s">
        <v>981</v>
      </c>
      <c r="M152" s="9">
        <v>89.0</v>
      </c>
      <c r="N152" s="2" t="s">
        <v>982</v>
      </c>
      <c r="O152" s="2" t="s">
        <v>56</v>
      </c>
      <c r="P152" s="11">
        <v>5.0</v>
      </c>
      <c r="Q152" s="3"/>
      <c r="R152" s="8" t="s">
        <v>983</v>
      </c>
      <c r="S152" s="2" t="s">
        <v>28</v>
      </c>
    </row>
    <row r="153" ht="67.5" customHeight="1">
      <c r="A153" s="2" t="s">
        <v>984</v>
      </c>
      <c r="B153" s="3" t="str">
        <f>IMAGE("https://image.tmdb.org/t/p/w342/sFPkQLUq8wmNOL2XMow4WF5tOpu.jpg")</f>
        <v/>
      </c>
      <c r="C153" s="2" t="s">
        <v>985</v>
      </c>
      <c r="D153" s="4">
        <v>43357.0</v>
      </c>
      <c r="E153" s="5">
        <v>2018.0</v>
      </c>
      <c r="F153" s="2" t="s">
        <v>21</v>
      </c>
      <c r="G153" s="6"/>
      <c r="H153" s="5">
        <v>532973.0</v>
      </c>
      <c r="I153" s="7">
        <v>5.714</v>
      </c>
      <c r="J153" s="2" t="s">
        <v>73</v>
      </c>
      <c r="K153" s="2" t="s">
        <v>986</v>
      </c>
      <c r="L153" s="8" t="s">
        <v>987</v>
      </c>
      <c r="M153" s="9">
        <v>90.0</v>
      </c>
      <c r="N153" s="2" t="s">
        <v>988</v>
      </c>
      <c r="O153" s="2" t="s">
        <v>26</v>
      </c>
      <c r="P153" s="10"/>
      <c r="Q153" s="3"/>
      <c r="R153" s="8" t="s">
        <v>989</v>
      </c>
      <c r="S153" s="2" t="s">
        <v>28</v>
      </c>
    </row>
    <row r="154" ht="67.5" customHeight="1">
      <c r="A154" s="2" t="s">
        <v>990</v>
      </c>
      <c r="B154" s="3" t="str">
        <f>IMAGE("https://image.tmdb.org/t/p/w342/gchygJq6AnzGFg0uYRDKn7mqsyU.jpg")</f>
        <v/>
      </c>
      <c r="C154" s="2" t="s">
        <v>991</v>
      </c>
      <c r="D154" s="4">
        <v>43727.0</v>
      </c>
      <c r="E154" s="5">
        <v>2019.0</v>
      </c>
      <c r="F154" s="2" t="s">
        <v>21</v>
      </c>
      <c r="G154" s="6"/>
      <c r="H154" s="5">
        <v>614722.0</v>
      </c>
      <c r="I154" s="7">
        <v>5.199</v>
      </c>
      <c r="J154" s="2" t="s">
        <v>73</v>
      </c>
      <c r="K154" s="2" t="s">
        <v>992</v>
      </c>
      <c r="L154" s="8" t="s">
        <v>993</v>
      </c>
      <c r="M154" s="9">
        <v>86.0</v>
      </c>
      <c r="N154" s="2" t="s">
        <v>994</v>
      </c>
      <c r="O154" s="2" t="s">
        <v>26</v>
      </c>
      <c r="P154" s="10"/>
      <c r="Q154" s="3"/>
      <c r="R154" s="8" t="s">
        <v>995</v>
      </c>
      <c r="S154" s="2" t="s">
        <v>28</v>
      </c>
    </row>
    <row r="155" ht="67.5" customHeight="1">
      <c r="A155" s="2" t="s">
        <v>996</v>
      </c>
      <c r="B155" s="3" t="str">
        <f>IMAGE("https://image.tmdb.org/t/p/w342/bsd1ovBNOhYpQElhlZAqpMo51q6.jpg")</f>
        <v/>
      </c>
      <c r="C155" s="2" t="s">
        <v>997</v>
      </c>
      <c r="D155" s="4">
        <v>45223.0</v>
      </c>
      <c r="E155" s="5">
        <v>2023.0</v>
      </c>
      <c r="F155" s="2" t="s">
        <v>21</v>
      </c>
      <c r="G155" s="6"/>
      <c r="H155" s="5">
        <v>1035982.0</v>
      </c>
      <c r="I155" s="7">
        <v>6.568</v>
      </c>
      <c r="J155" s="2" t="s">
        <v>73</v>
      </c>
      <c r="K155" s="2" t="s">
        <v>998</v>
      </c>
      <c r="L155" s="8" t="s">
        <v>999</v>
      </c>
      <c r="M155" s="9">
        <v>98.0</v>
      </c>
      <c r="N155" s="2" t="s">
        <v>1000</v>
      </c>
      <c r="O155" s="2" t="s">
        <v>26</v>
      </c>
      <c r="P155" s="10"/>
      <c r="Q155" s="3"/>
      <c r="R155" s="8" t="s">
        <v>1001</v>
      </c>
      <c r="S155" s="2" t="s">
        <v>28</v>
      </c>
    </row>
    <row r="156" ht="67.5" customHeight="1">
      <c r="A156" s="2" t="s">
        <v>1002</v>
      </c>
      <c r="B156" s="3" t="str">
        <f>IMAGE("https://image.tmdb.org/t/p/w342/xUSCQEbbAy3Lv6r00RfXtdxhRDX.jpg")</f>
        <v/>
      </c>
      <c r="C156" s="2" t="s">
        <v>1003</v>
      </c>
      <c r="D156" s="4">
        <v>42293.0</v>
      </c>
      <c r="E156" s="5">
        <v>2015.0</v>
      </c>
      <c r="F156" s="2" t="s">
        <v>21</v>
      </c>
      <c r="G156" s="6"/>
      <c r="H156" s="5">
        <v>359246.0</v>
      </c>
      <c r="I156" s="7">
        <v>6.466</v>
      </c>
      <c r="J156" s="2" t="s">
        <v>73</v>
      </c>
      <c r="K156" s="2" t="s">
        <v>1004</v>
      </c>
      <c r="L156" s="8" t="s">
        <v>1005</v>
      </c>
      <c r="M156" s="9">
        <v>91.0</v>
      </c>
      <c r="N156" s="2" t="s">
        <v>1006</v>
      </c>
      <c r="O156" s="2" t="s">
        <v>56</v>
      </c>
      <c r="P156" s="11">
        <v>5.0</v>
      </c>
      <c r="Q156" s="3"/>
      <c r="R156" s="8" t="s">
        <v>1007</v>
      </c>
      <c r="S156" s="2" t="s">
        <v>28</v>
      </c>
    </row>
    <row r="157" ht="67.5" customHeight="1">
      <c r="A157" s="2" t="s">
        <v>1008</v>
      </c>
      <c r="B157" s="3" t="str">
        <f>IMAGE("https://image.tmdb.org/t/p/w342/diVMzTarVLgjc3jyODyhZMadfwD.jpg")</f>
        <v/>
      </c>
      <c r="C157" s="2" t="s">
        <v>1009</v>
      </c>
      <c r="D157" s="4">
        <v>31679.0</v>
      </c>
      <c r="E157" s="5">
        <v>1986.0</v>
      </c>
      <c r="F157" s="2" t="s">
        <v>31</v>
      </c>
      <c r="G157" s="6"/>
      <c r="H157" s="5">
        <v>10692.0</v>
      </c>
      <c r="I157" s="7">
        <v>6.737</v>
      </c>
      <c r="J157" s="2" t="s">
        <v>1010</v>
      </c>
      <c r="K157" s="2" t="s">
        <v>1011</v>
      </c>
      <c r="L157" s="8" t="s">
        <v>1012</v>
      </c>
      <c r="M157" s="9">
        <v>83.0</v>
      </c>
      <c r="N157" s="2" t="s">
        <v>1013</v>
      </c>
      <c r="O157" s="2" t="s">
        <v>26</v>
      </c>
      <c r="P157" s="10"/>
      <c r="Q157" s="3"/>
      <c r="R157" s="8" t="s">
        <v>1014</v>
      </c>
      <c r="S157" s="2" t="s">
        <v>28</v>
      </c>
    </row>
    <row r="158" ht="67.5" customHeight="1">
      <c r="A158" s="2" t="s">
        <v>1015</v>
      </c>
      <c r="B158" s="3" t="str">
        <f>IMAGE("https://image.tmdb.org/t/p/w342/hjlZSXM86wJrfCv5VKfR5DI2VeU.jpg")</f>
        <v/>
      </c>
      <c r="C158" s="2" t="s">
        <v>1016</v>
      </c>
      <c r="D158" s="4">
        <v>43258.0</v>
      </c>
      <c r="E158" s="5">
        <v>2018.0</v>
      </c>
      <c r="F158" s="2" t="s">
        <v>21</v>
      </c>
      <c r="G158" s="6"/>
      <c r="H158" s="5">
        <v>493922.0</v>
      </c>
      <c r="I158" s="7">
        <v>7.292</v>
      </c>
      <c r="J158" s="2" t="s">
        <v>434</v>
      </c>
      <c r="K158" s="2" t="s">
        <v>1017</v>
      </c>
      <c r="L158" s="8" t="s">
        <v>1018</v>
      </c>
      <c r="M158" s="9">
        <v>128.0</v>
      </c>
      <c r="N158" s="2" t="s">
        <v>1019</v>
      </c>
      <c r="O158" s="2" t="s">
        <v>26</v>
      </c>
      <c r="P158" s="10"/>
      <c r="Q158" s="3"/>
      <c r="R158" s="8" t="s">
        <v>1020</v>
      </c>
      <c r="S158" s="2" t="s">
        <v>28</v>
      </c>
    </row>
    <row r="159" ht="67.5" customHeight="1">
      <c r="A159" s="2" t="s">
        <v>1021</v>
      </c>
      <c r="B159" s="3" t="str">
        <f>IMAGE("https://image.tmdb.org/t/p/w342/fr96XzlzsONrQrGfdLMiwtQjott.jpg")</f>
        <v/>
      </c>
      <c r="C159" s="2" t="s">
        <v>1022</v>
      </c>
      <c r="D159" s="4">
        <v>45596.0</v>
      </c>
      <c r="E159" s="5">
        <v>2024.0</v>
      </c>
      <c r="F159" s="2" t="s">
        <v>21</v>
      </c>
      <c r="G159" s="6"/>
      <c r="H159" s="5">
        <v>1138194.0</v>
      </c>
      <c r="I159" s="7">
        <v>6.97</v>
      </c>
      <c r="J159" s="2" t="s">
        <v>80</v>
      </c>
      <c r="K159" s="2" t="s">
        <v>1023</v>
      </c>
      <c r="L159" s="8" t="s">
        <v>1024</v>
      </c>
      <c r="M159" s="9">
        <v>111.0</v>
      </c>
      <c r="N159" s="2" t="s">
        <v>1025</v>
      </c>
      <c r="O159" s="2" t="s">
        <v>56</v>
      </c>
      <c r="P159" s="11">
        <v>5.0</v>
      </c>
      <c r="Q159" s="3"/>
      <c r="R159" s="8" t="s">
        <v>1026</v>
      </c>
      <c r="S159" s="2" t="s">
        <v>28</v>
      </c>
    </row>
    <row r="160" ht="67.5" customHeight="1">
      <c r="A160" s="2" t="s">
        <v>1027</v>
      </c>
      <c r="B160" s="3" t="str">
        <f>IMAGE("https://image.tmdb.org/t/p/w342/vKeFa7CqSxmWsQDjHP6SJXKoDbj.jpg")</f>
        <v/>
      </c>
      <c r="C160" s="2" t="s">
        <v>1028</v>
      </c>
      <c r="D160" s="4">
        <v>37790.0</v>
      </c>
      <c r="E160" s="5">
        <v>2003.0</v>
      </c>
      <c r="F160" s="2" t="s">
        <v>21</v>
      </c>
      <c r="G160" s="6"/>
      <c r="H160" s="5">
        <v>10226.0</v>
      </c>
      <c r="I160" s="7">
        <v>6.764</v>
      </c>
      <c r="J160" s="2" t="s">
        <v>1029</v>
      </c>
      <c r="K160" s="2" t="s">
        <v>1030</v>
      </c>
      <c r="L160" s="8" t="s">
        <v>1031</v>
      </c>
      <c r="M160" s="9">
        <v>91.0</v>
      </c>
      <c r="N160" s="2" t="s">
        <v>1032</v>
      </c>
      <c r="O160" s="2" t="s">
        <v>56</v>
      </c>
      <c r="P160" s="11">
        <v>3.0</v>
      </c>
      <c r="Q160" s="3"/>
      <c r="R160" s="8" t="s">
        <v>1033</v>
      </c>
      <c r="S160" s="2" t="s">
        <v>28</v>
      </c>
    </row>
    <row r="161" ht="67.5" customHeight="1">
      <c r="A161" s="2" t="s">
        <v>1034</v>
      </c>
      <c r="B161" s="3" t="str">
        <f>IMAGE("https://image.tmdb.org/t/p/w342/2eJL1Ccr1FN3dm9OSDwyd8uaX1b.jpg")</f>
        <v/>
      </c>
      <c r="C161" s="2" t="s">
        <v>1035</v>
      </c>
      <c r="D161" s="4">
        <v>38786.0</v>
      </c>
      <c r="E161" s="5">
        <v>2006.0</v>
      </c>
      <c r="F161" s="2" t="s">
        <v>1036</v>
      </c>
      <c r="G161" s="6"/>
      <c r="H161" s="5">
        <v>9792.0</v>
      </c>
      <c r="I161" s="7">
        <v>6.463</v>
      </c>
      <c r="J161" s="2" t="s">
        <v>39</v>
      </c>
      <c r="K161" s="2" t="s">
        <v>1037</v>
      </c>
      <c r="L161" s="8" t="s">
        <v>1038</v>
      </c>
      <c r="M161" s="9">
        <v>107.0</v>
      </c>
      <c r="N161" s="2" t="s">
        <v>1039</v>
      </c>
      <c r="O161" s="2" t="s">
        <v>56</v>
      </c>
      <c r="P161" s="11">
        <v>5.0</v>
      </c>
      <c r="Q161" s="3"/>
      <c r="R161" s="8" t="s">
        <v>1040</v>
      </c>
      <c r="S161" s="2" t="s">
        <v>28</v>
      </c>
    </row>
    <row r="162" ht="67.5" customHeight="1">
      <c r="A162" s="2" t="s">
        <v>1041</v>
      </c>
      <c r="B162" s="3" t="str">
        <f>IMAGE("https://image.tmdb.org/t/p/w342/3SX2UGSmAjIZsVACpshPpKtjbDr.jpg")</f>
        <v/>
      </c>
      <c r="C162" s="2" t="s">
        <v>1042</v>
      </c>
      <c r="D162" s="4">
        <v>39163.0</v>
      </c>
      <c r="E162" s="5">
        <v>2007.0</v>
      </c>
      <c r="F162" s="2" t="s">
        <v>1036</v>
      </c>
      <c r="G162" s="6"/>
      <c r="H162" s="5">
        <v>9793.0</v>
      </c>
      <c r="I162" s="7">
        <v>5.571</v>
      </c>
      <c r="J162" s="2" t="s">
        <v>93</v>
      </c>
      <c r="K162" s="2" t="s">
        <v>1043</v>
      </c>
      <c r="L162" s="8" t="s">
        <v>1044</v>
      </c>
      <c r="M162" s="9">
        <v>89.0</v>
      </c>
      <c r="N162" s="2" t="s">
        <v>1045</v>
      </c>
      <c r="O162" s="2" t="s">
        <v>56</v>
      </c>
      <c r="P162" s="11">
        <v>2.0</v>
      </c>
      <c r="Q162" s="3"/>
      <c r="R162" s="8" t="s">
        <v>1046</v>
      </c>
      <c r="S162" s="2" t="s">
        <v>28</v>
      </c>
    </row>
    <row r="163" ht="67.5" customHeight="1">
      <c r="A163" s="2" t="s">
        <v>1047</v>
      </c>
      <c r="B163" s="3" t="str">
        <f>IMAGE("https://image.tmdb.org/t/p/w342/odPuG8mbDF12uMAQ5K4LuebtyUo.jpg")</f>
        <v/>
      </c>
      <c r="C163" s="2" t="s">
        <v>1048</v>
      </c>
      <c r="D163" s="4">
        <v>40085.0</v>
      </c>
      <c r="E163" s="5">
        <v>2009.0</v>
      </c>
      <c r="F163" s="2" t="s">
        <v>21</v>
      </c>
      <c r="G163" s="6"/>
      <c r="H163" s="5">
        <v>24001.0</v>
      </c>
      <c r="I163" s="7">
        <v>5.765</v>
      </c>
      <c r="J163" s="2" t="s">
        <v>39</v>
      </c>
      <c r="K163" s="2" t="s">
        <v>1049</v>
      </c>
      <c r="L163" s="8" t="s">
        <v>1050</v>
      </c>
      <c r="M163" s="9">
        <v>81.0</v>
      </c>
      <c r="N163" s="2" t="s">
        <v>1051</v>
      </c>
      <c r="O163" s="2" t="s">
        <v>56</v>
      </c>
      <c r="P163" s="11">
        <v>4.0</v>
      </c>
      <c r="Q163" s="3"/>
      <c r="R163" s="8" t="s">
        <v>1052</v>
      </c>
      <c r="S163" s="2" t="s">
        <v>28</v>
      </c>
    </row>
    <row r="164" ht="67.5" customHeight="1">
      <c r="A164" s="2" t="s">
        <v>1053</v>
      </c>
      <c r="B164" s="3" t="str">
        <f>IMAGE("https://image.tmdb.org/t/p/w342/yHA9Fc37VmpUA5UncTxxo3rTGVA.jpg")</f>
        <v/>
      </c>
      <c r="C164" s="2" t="s">
        <v>1054</v>
      </c>
      <c r="D164" s="4">
        <v>41255.0</v>
      </c>
      <c r="E164" s="5">
        <v>2012.0</v>
      </c>
      <c r="F164" s="2" t="s">
        <v>31</v>
      </c>
      <c r="G164" s="6"/>
      <c r="H164" s="5">
        <v>49051.0</v>
      </c>
      <c r="I164" s="7">
        <v>7.374</v>
      </c>
      <c r="J164" s="2" t="s">
        <v>1055</v>
      </c>
      <c r="K164" s="2" t="s">
        <v>1056</v>
      </c>
      <c r="L164" s="8" t="s">
        <v>1057</v>
      </c>
      <c r="M164" s="9">
        <v>169.0</v>
      </c>
      <c r="N164" s="2" t="s">
        <v>1058</v>
      </c>
      <c r="O164" s="2" t="s">
        <v>26</v>
      </c>
      <c r="P164" s="10"/>
      <c r="Q164" s="3"/>
      <c r="R164" s="8" t="s">
        <v>1059</v>
      </c>
      <c r="S164" s="2" t="s">
        <v>28</v>
      </c>
    </row>
    <row r="165" ht="67.5" customHeight="1">
      <c r="A165" s="2" t="s">
        <v>1060</v>
      </c>
      <c r="B165" s="3" t="str">
        <f>IMAGE("https://image.tmdb.org/t/p/w342/xT98tLqatZPQApyRmlPL12LtiWp.jpg")</f>
        <v/>
      </c>
      <c r="C165" s="2" t="s">
        <v>1061</v>
      </c>
      <c r="D165" s="4">
        <v>41983.0</v>
      </c>
      <c r="E165" s="5">
        <v>2014.0</v>
      </c>
      <c r="F165" s="2" t="s">
        <v>31</v>
      </c>
      <c r="G165" s="6"/>
      <c r="H165" s="5">
        <v>122917.0</v>
      </c>
      <c r="I165" s="7">
        <v>7.334</v>
      </c>
      <c r="J165" s="2" t="s">
        <v>171</v>
      </c>
      <c r="K165" s="2" t="s">
        <v>1062</v>
      </c>
      <c r="L165" s="8" t="s">
        <v>1063</v>
      </c>
      <c r="M165" s="9">
        <v>144.0</v>
      </c>
      <c r="N165" s="2" t="s">
        <v>1064</v>
      </c>
      <c r="O165" s="2" t="s">
        <v>26</v>
      </c>
      <c r="P165" s="10"/>
      <c r="Q165" s="3"/>
      <c r="R165" s="8" t="s">
        <v>1065</v>
      </c>
      <c r="S165" s="2" t="s">
        <v>28</v>
      </c>
    </row>
    <row r="166" ht="67.5" customHeight="1">
      <c r="A166" s="2" t="s">
        <v>1066</v>
      </c>
      <c r="B166" s="3" t="str">
        <f>IMAGE("https://image.tmdb.org/t/p/w342/xQYiXsheRCDBA39DOrmaw1aSpbk.jpg")</f>
        <v/>
      </c>
      <c r="C166" s="2" t="s">
        <v>1067</v>
      </c>
      <c r="D166" s="4">
        <v>41619.0</v>
      </c>
      <c r="E166" s="5">
        <v>2013.0</v>
      </c>
      <c r="F166" s="2" t="s">
        <v>31</v>
      </c>
      <c r="G166" s="6"/>
      <c r="H166" s="5">
        <v>57158.0</v>
      </c>
      <c r="I166" s="7">
        <v>7.578</v>
      </c>
      <c r="J166" s="2" t="s">
        <v>1068</v>
      </c>
      <c r="K166" s="2" t="s">
        <v>1069</v>
      </c>
      <c r="L166" s="8" t="s">
        <v>1070</v>
      </c>
      <c r="M166" s="9">
        <v>161.0</v>
      </c>
      <c r="N166" s="2" t="s">
        <v>1071</v>
      </c>
      <c r="O166" s="2" t="s">
        <v>26</v>
      </c>
      <c r="P166" s="10"/>
      <c r="Q166" s="3"/>
      <c r="R166" s="8" t="s">
        <v>1072</v>
      </c>
      <c r="S166" s="2" t="s">
        <v>28</v>
      </c>
    </row>
    <row r="167" ht="67.5" customHeight="1">
      <c r="A167" s="2" t="s">
        <v>1073</v>
      </c>
      <c r="B167" s="3" t="str">
        <f>IMAGE("https://image.tmdb.org/t/p/w342/uQkUwgyFHAm0jGQERPG6Z9o9Zbj.jpg")</f>
        <v/>
      </c>
      <c r="C167" s="2" t="s">
        <v>1074</v>
      </c>
      <c r="D167" s="4">
        <v>40732.0</v>
      </c>
      <c r="E167" s="5">
        <v>2011.0</v>
      </c>
      <c r="F167" s="2" t="s">
        <v>21</v>
      </c>
      <c r="G167" s="6"/>
      <c r="H167" s="5">
        <v>51540.0</v>
      </c>
      <c r="I167" s="7">
        <v>6.573</v>
      </c>
      <c r="J167" s="2" t="s">
        <v>232</v>
      </c>
      <c r="K167" s="2" t="s">
        <v>1075</v>
      </c>
      <c r="L167" s="8" t="s">
        <v>1076</v>
      </c>
      <c r="M167" s="9">
        <v>98.0</v>
      </c>
      <c r="N167" s="2" t="s">
        <v>1077</v>
      </c>
      <c r="O167" s="2" t="s">
        <v>56</v>
      </c>
      <c r="P167" s="11">
        <v>5.0</v>
      </c>
      <c r="Q167" s="3"/>
      <c r="R167" s="8" t="s">
        <v>1078</v>
      </c>
      <c r="S167" s="2" t="s">
        <v>28</v>
      </c>
    </row>
    <row r="168" ht="67.5" customHeight="1">
      <c r="A168" s="2" t="s">
        <v>1079</v>
      </c>
      <c r="B168" s="3" t="str">
        <f>IMAGE("https://image.tmdb.org/t/p/w342/dDrtuWUKhgUGp12kgUWuP0NpTdF.jpg")</f>
        <v/>
      </c>
      <c r="C168" s="2" t="s">
        <v>1080</v>
      </c>
      <c r="D168" s="4">
        <v>38723.0</v>
      </c>
      <c r="E168" s="5">
        <v>2005.0</v>
      </c>
      <c r="F168" s="2" t="s">
        <v>21</v>
      </c>
      <c r="G168" s="6"/>
      <c r="H168" s="5">
        <v>1690.0</v>
      </c>
      <c r="I168" s="7">
        <v>5.958</v>
      </c>
      <c r="J168" s="2" t="s">
        <v>93</v>
      </c>
      <c r="K168" s="2" t="s">
        <v>1081</v>
      </c>
      <c r="L168" s="8" t="s">
        <v>1082</v>
      </c>
      <c r="M168" s="9">
        <v>94.0</v>
      </c>
      <c r="N168" s="2" t="s">
        <v>1083</v>
      </c>
      <c r="O168" s="2" t="s">
        <v>56</v>
      </c>
      <c r="P168" s="11">
        <v>4.0</v>
      </c>
      <c r="Q168" s="3"/>
      <c r="R168" s="8" t="s">
        <v>1084</v>
      </c>
      <c r="S168" s="2" t="s">
        <v>28</v>
      </c>
    </row>
    <row r="169" ht="67.5" customHeight="1">
      <c r="A169" s="2" t="s">
        <v>1085</v>
      </c>
      <c r="B169" s="3" t="str">
        <f>IMAGE("https://image.tmdb.org/t/p/w342/qB20aiY8Ah3pQikkBxm3j7jQVc8.jpg")</f>
        <v/>
      </c>
      <c r="C169" s="2" t="s">
        <v>1086</v>
      </c>
      <c r="D169" s="4">
        <v>39240.0</v>
      </c>
      <c r="E169" s="5">
        <v>2007.0</v>
      </c>
      <c r="F169" s="2" t="s">
        <v>21</v>
      </c>
      <c r="G169" s="6"/>
      <c r="H169" s="5">
        <v>1691.0</v>
      </c>
      <c r="I169" s="7">
        <v>5.855</v>
      </c>
      <c r="J169" s="2" t="s">
        <v>93</v>
      </c>
      <c r="K169" s="2" t="s">
        <v>1087</v>
      </c>
      <c r="L169" s="8" t="s">
        <v>1088</v>
      </c>
      <c r="M169" s="9">
        <v>93.0</v>
      </c>
      <c r="N169" s="2" t="s">
        <v>1089</v>
      </c>
      <c r="O169" s="2" t="s">
        <v>56</v>
      </c>
      <c r="P169" s="11">
        <v>3.0</v>
      </c>
      <c r="Q169" s="3"/>
      <c r="R169" s="8" t="s">
        <v>1090</v>
      </c>
      <c r="S169" s="2" t="s">
        <v>28</v>
      </c>
    </row>
    <row r="170" ht="67.5" customHeight="1">
      <c r="A170" s="2" t="s">
        <v>1091</v>
      </c>
      <c r="B170" s="3" t="str">
        <f>IMAGE("https://image.tmdb.org/t/p/w342/wjzbVXAes1acbh6k4OO5xVfy5.jpg")</f>
        <v/>
      </c>
      <c r="C170" s="2" t="s">
        <v>1092</v>
      </c>
      <c r="D170" s="4">
        <v>40263.0</v>
      </c>
      <c r="E170" s="5">
        <v>2010.0</v>
      </c>
      <c r="F170" s="2" t="s">
        <v>21</v>
      </c>
      <c r="G170" s="6"/>
      <c r="H170" s="5">
        <v>23048.0</v>
      </c>
      <c r="I170" s="7">
        <v>6.0</v>
      </c>
      <c r="J170" s="2" t="s">
        <v>1093</v>
      </c>
      <c r="K170" s="2" t="s">
        <v>1094</v>
      </c>
      <c r="L170" s="8" t="s">
        <v>1095</v>
      </c>
      <c r="M170" s="9">
        <v>101.0</v>
      </c>
      <c r="N170" s="2" t="s">
        <v>1096</v>
      </c>
      <c r="O170" s="2" t="s">
        <v>56</v>
      </c>
      <c r="P170" s="11">
        <v>5.0</v>
      </c>
      <c r="Q170" s="3"/>
      <c r="R170" s="8" t="s">
        <v>1097</v>
      </c>
      <c r="S170" s="2" t="s">
        <v>28</v>
      </c>
    </row>
    <row r="171" ht="67.5" customHeight="1">
      <c r="A171" s="2" t="s">
        <v>1098</v>
      </c>
      <c r="B171" s="3" t="str">
        <f>IMAGE("https://image.tmdb.org/t/p/w342/29c2qgXmSREosLBevOILEuMWzQC.jpg")</f>
        <v/>
      </c>
      <c r="C171" s="2" t="s">
        <v>1099</v>
      </c>
      <c r="D171" s="4">
        <v>37722.0</v>
      </c>
      <c r="E171" s="5">
        <v>2003.0</v>
      </c>
      <c r="F171" s="2" t="s">
        <v>21</v>
      </c>
      <c r="G171" s="6"/>
      <c r="H171" s="5">
        <v>2662.0</v>
      </c>
      <c r="I171" s="7">
        <v>6.2</v>
      </c>
      <c r="J171" s="2" t="s">
        <v>93</v>
      </c>
      <c r="K171" s="2" t="s">
        <v>1100</v>
      </c>
      <c r="L171" s="8" t="s">
        <v>1101</v>
      </c>
      <c r="M171" s="9">
        <v>89.0</v>
      </c>
      <c r="N171" s="2" t="s">
        <v>1102</v>
      </c>
      <c r="O171" s="2" t="s">
        <v>56</v>
      </c>
      <c r="P171" s="11">
        <v>5.0</v>
      </c>
      <c r="Q171" s="3"/>
      <c r="R171" s="8" t="s">
        <v>1103</v>
      </c>
      <c r="S171" s="2" t="s">
        <v>28</v>
      </c>
    </row>
    <row r="172" ht="67.5" customHeight="1">
      <c r="A172" s="2" t="s">
        <v>1104</v>
      </c>
      <c r="B172" s="3" t="str">
        <f>IMAGE("https://image.tmdb.org/t/p/w342/aCLSgw1DaqkRvosYc3YUttBTtpT.jpg")</f>
        <v/>
      </c>
      <c r="C172" s="2" t="s">
        <v>1105</v>
      </c>
      <c r="D172" s="4">
        <v>38477.0</v>
      </c>
      <c r="E172" s="5">
        <v>2005.0</v>
      </c>
      <c r="F172" s="2" t="s">
        <v>21</v>
      </c>
      <c r="G172" s="6"/>
      <c r="H172" s="5">
        <v>10066.0</v>
      </c>
      <c r="I172" s="7">
        <v>6.029</v>
      </c>
      <c r="J172" s="2" t="s">
        <v>1029</v>
      </c>
      <c r="K172" s="2" t="s">
        <v>1106</v>
      </c>
      <c r="L172" s="8" t="s">
        <v>1107</v>
      </c>
      <c r="M172" s="9">
        <v>113.0</v>
      </c>
      <c r="N172" s="2" t="s">
        <v>1108</v>
      </c>
      <c r="O172" s="2" t="s">
        <v>56</v>
      </c>
      <c r="P172" s="11">
        <v>3.0</v>
      </c>
      <c r="Q172" s="3"/>
      <c r="R172" s="8" t="s">
        <v>1109</v>
      </c>
      <c r="S172" s="2" t="s">
        <v>28</v>
      </c>
    </row>
    <row r="173" ht="67.5" customHeight="1">
      <c r="A173" s="2" t="s">
        <v>1110</v>
      </c>
      <c r="B173" s="3" t="str">
        <f>IMAGE("https://image.tmdb.org/t/p/w342/bMUGNkPaHOurcBK9g3XpJx3fxuO.jpg")</f>
        <v/>
      </c>
      <c r="C173" s="2" t="s">
        <v>1111</v>
      </c>
      <c r="D173" s="4">
        <v>43377.0</v>
      </c>
      <c r="E173" s="5">
        <v>2018.0</v>
      </c>
      <c r="F173" s="2" t="s">
        <v>21</v>
      </c>
      <c r="G173" s="6"/>
      <c r="H173" s="5">
        <v>398173.0</v>
      </c>
      <c r="I173" s="7">
        <v>7.1</v>
      </c>
      <c r="J173" s="2" t="s">
        <v>1112</v>
      </c>
      <c r="K173" s="2" t="s">
        <v>1113</v>
      </c>
      <c r="L173" s="8" t="s">
        <v>1114</v>
      </c>
      <c r="M173" s="9">
        <v>152.0</v>
      </c>
      <c r="N173" s="2" t="s">
        <v>1115</v>
      </c>
      <c r="O173" s="2" t="s">
        <v>221</v>
      </c>
      <c r="P173" s="10"/>
      <c r="Q173" s="3"/>
      <c r="R173" s="8" t="s">
        <v>1116</v>
      </c>
      <c r="S173" s="2" t="s">
        <v>28</v>
      </c>
    </row>
    <row r="174" ht="67.5" customHeight="1">
      <c r="A174" s="2" t="s">
        <v>1117</v>
      </c>
      <c r="B174" s="3" t="str">
        <f>IMAGE("https://image.tmdb.org/t/p/w342/yGTHvZE1ggog8w06kqg1HyTANjT.jpg")</f>
        <v/>
      </c>
      <c r="C174" s="2" t="s">
        <v>1118</v>
      </c>
      <c r="D174" s="4">
        <v>41922.0</v>
      </c>
      <c r="E174" s="5">
        <v>2014.0</v>
      </c>
      <c r="F174" s="2" t="s">
        <v>21</v>
      </c>
      <c r="G174" s="6"/>
      <c r="H174" s="5">
        <v>293572.0</v>
      </c>
      <c r="I174" s="7">
        <v>4.958</v>
      </c>
      <c r="J174" s="2" t="s">
        <v>39</v>
      </c>
      <c r="K174" s="2" t="s">
        <v>1119</v>
      </c>
      <c r="L174" s="8" t="s">
        <v>1120</v>
      </c>
      <c r="M174" s="9">
        <v>91.0</v>
      </c>
      <c r="N174" s="2" t="s">
        <v>1121</v>
      </c>
      <c r="O174" s="2" t="s">
        <v>56</v>
      </c>
      <c r="P174" s="11">
        <v>5.0</v>
      </c>
      <c r="Q174" s="3"/>
      <c r="R174" s="8" t="s">
        <v>1122</v>
      </c>
      <c r="S174" s="2" t="s">
        <v>28</v>
      </c>
    </row>
    <row r="175" ht="67.5" customHeight="1">
      <c r="A175" s="2" t="s">
        <v>1123</v>
      </c>
      <c r="B175" s="3" t="str">
        <f>IMAGE("https://image.tmdb.org/t/p/w342/9ePD42CjuXgwsFNDl3EC8KRi0XC.jpg")</f>
        <v/>
      </c>
      <c r="C175" s="2" t="s">
        <v>1124</v>
      </c>
      <c r="D175" s="4">
        <v>43000.0</v>
      </c>
      <c r="E175" s="5">
        <v>2017.0</v>
      </c>
      <c r="F175" s="2" t="s">
        <v>21</v>
      </c>
      <c r="G175" s="6"/>
      <c r="H175" s="5">
        <v>466344.0</v>
      </c>
      <c r="I175" s="7">
        <v>4.941</v>
      </c>
      <c r="J175" s="2" t="s">
        <v>93</v>
      </c>
      <c r="K175" s="2" t="s">
        <v>1125</v>
      </c>
      <c r="L175" s="8" t="s">
        <v>1126</v>
      </c>
      <c r="M175" s="9">
        <v>99.0</v>
      </c>
      <c r="N175" s="2" t="s">
        <v>1127</v>
      </c>
      <c r="O175" s="2" t="s">
        <v>56</v>
      </c>
      <c r="P175" s="11">
        <v>2.0</v>
      </c>
      <c r="Q175" s="3"/>
      <c r="R175" s="8" t="s">
        <v>1128</v>
      </c>
      <c r="S175" s="2" t="s">
        <v>28</v>
      </c>
    </row>
    <row r="176" ht="67.5" customHeight="1">
      <c r="A176" s="2" t="s">
        <v>1129</v>
      </c>
      <c r="B176" s="3" t="str">
        <f>IMAGE("https://image.tmdb.org/t/p/w342/ygGmAO60t8GyqUo9xYeYxSZAR3b.jpg")</f>
        <v/>
      </c>
      <c r="C176" s="2" t="s">
        <v>1130</v>
      </c>
      <c r="D176" s="4">
        <v>40255.0</v>
      </c>
      <c r="E176" s="5">
        <v>2010.0</v>
      </c>
      <c r="F176" s="2" t="s">
        <v>21</v>
      </c>
      <c r="G176" s="6"/>
      <c r="H176" s="5">
        <v>10191.0</v>
      </c>
      <c r="I176" s="7">
        <v>7.859</v>
      </c>
      <c r="J176" s="2" t="s">
        <v>1131</v>
      </c>
      <c r="K176" s="2" t="s">
        <v>1132</v>
      </c>
      <c r="L176" s="8" t="s">
        <v>1133</v>
      </c>
      <c r="M176" s="9">
        <v>98.0</v>
      </c>
      <c r="N176" s="2" t="s">
        <v>1134</v>
      </c>
      <c r="O176" s="2" t="s">
        <v>56</v>
      </c>
      <c r="P176" s="11">
        <v>5.0</v>
      </c>
      <c r="Q176" s="3"/>
      <c r="R176" s="8" t="s">
        <v>1135</v>
      </c>
      <c r="S176" s="2" t="s">
        <v>28</v>
      </c>
    </row>
    <row r="177" ht="67.5" customHeight="1">
      <c r="A177" s="2" t="s">
        <v>1136</v>
      </c>
      <c r="B177" s="3" t="str">
        <f>IMAGE("https://image.tmdb.org/t/p/w342/d13Uj86LdbDLrfDoHR5aDOFYyJC.jpg")</f>
        <v/>
      </c>
      <c r="C177" s="2" t="s">
        <v>1137</v>
      </c>
      <c r="D177" s="4">
        <v>41795.0</v>
      </c>
      <c r="E177" s="5">
        <v>2014.0</v>
      </c>
      <c r="F177" s="2" t="s">
        <v>21</v>
      </c>
      <c r="G177" s="6"/>
      <c r="H177" s="5">
        <v>82702.0</v>
      </c>
      <c r="I177" s="7">
        <v>7.7</v>
      </c>
      <c r="J177" s="2" t="s">
        <v>1138</v>
      </c>
      <c r="K177" s="2" t="s">
        <v>1139</v>
      </c>
      <c r="L177" s="8" t="s">
        <v>1140</v>
      </c>
      <c r="M177" s="9">
        <v>102.0</v>
      </c>
      <c r="N177" s="2" t="s">
        <v>1141</v>
      </c>
      <c r="O177" s="2" t="s">
        <v>56</v>
      </c>
      <c r="P177" s="11">
        <v>5.0</v>
      </c>
      <c r="Q177" s="3"/>
      <c r="R177" s="8" t="s">
        <v>1142</v>
      </c>
      <c r="S177" s="2" t="s">
        <v>28</v>
      </c>
    </row>
    <row r="178" ht="67.5" customHeight="1">
      <c r="A178" s="2" t="s">
        <v>1143</v>
      </c>
      <c r="B178" s="3" t="str">
        <f>IMAGE("https://image.tmdb.org/t/p/w342/xvx4Yhf0DVH8G4LzNISpMfFBDy2.jpg")</f>
        <v/>
      </c>
      <c r="C178" s="2" t="s">
        <v>1144</v>
      </c>
      <c r="D178" s="4">
        <v>43468.0</v>
      </c>
      <c r="E178" s="5">
        <v>2019.0</v>
      </c>
      <c r="F178" s="2" t="s">
        <v>21</v>
      </c>
      <c r="G178" s="6"/>
      <c r="H178" s="5">
        <v>166428.0</v>
      </c>
      <c r="I178" s="7">
        <v>7.751</v>
      </c>
      <c r="J178" s="2" t="s">
        <v>1145</v>
      </c>
      <c r="K178" s="2" t="s">
        <v>1146</v>
      </c>
      <c r="L178" s="8" t="s">
        <v>1147</v>
      </c>
      <c r="M178" s="9">
        <v>104.0</v>
      </c>
      <c r="N178" s="2" t="s">
        <v>1148</v>
      </c>
      <c r="O178" s="2" t="s">
        <v>56</v>
      </c>
      <c r="P178" s="11">
        <v>5.0</v>
      </c>
      <c r="Q178" s="3"/>
      <c r="R178" s="8" t="s">
        <v>1149</v>
      </c>
      <c r="S178" s="2" t="s">
        <v>28</v>
      </c>
    </row>
    <row r="179" ht="67.5" customHeight="1">
      <c r="A179" s="2" t="s">
        <v>1150</v>
      </c>
      <c r="B179" s="3" t="str">
        <f>IMAGE("https://image.tmdb.org/t/p/w342/9YEUMnMhIjD5ek4zIqOhLSnTnJS.jpg")</f>
        <v/>
      </c>
      <c r="C179" s="2" t="s">
        <v>1151</v>
      </c>
      <c r="D179" s="4">
        <v>40822.0</v>
      </c>
      <c r="E179" s="5">
        <v>2011.0</v>
      </c>
      <c r="F179" s="2" t="s">
        <v>21</v>
      </c>
      <c r="G179" s="6"/>
      <c r="H179" s="5">
        <v>74997.0</v>
      </c>
      <c r="I179" s="7">
        <v>4.8</v>
      </c>
      <c r="J179" s="2" t="s">
        <v>549</v>
      </c>
      <c r="K179" s="2" t="s">
        <v>1152</v>
      </c>
      <c r="L179" s="8" t="s">
        <v>1153</v>
      </c>
      <c r="M179" s="9">
        <v>91.0</v>
      </c>
      <c r="N179" s="2" t="s">
        <v>1154</v>
      </c>
      <c r="O179" s="2" t="s">
        <v>56</v>
      </c>
      <c r="P179" s="11">
        <v>2.0</v>
      </c>
      <c r="Q179" s="3"/>
      <c r="R179" s="8" t="s">
        <v>1155</v>
      </c>
      <c r="S179" s="2" t="s">
        <v>28</v>
      </c>
    </row>
    <row r="180" ht="67.5" customHeight="1">
      <c r="A180" s="2" t="s">
        <v>1156</v>
      </c>
      <c r="B180" s="3" t="str">
        <f>IMAGE("https://image.tmdb.org/t/p/w342/xUk5AGcGvybPBvvMqrDPbAFAknD.jpg")</f>
        <v/>
      </c>
      <c r="C180" s="2" t="s">
        <v>1157</v>
      </c>
      <c r="D180" s="4">
        <v>42146.0</v>
      </c>
      <c r="E180" s="5">
        <v>2015.0</v>
      </c>
      <c r="F180" s="2" t="s">
        <v>21</v>
      </c>
      <c r="G180" s="6"/>
      <c r="H180" s="5">
        <v>94365.0</v>
      </c>
      <c r="I180" s="7">
        <v>3.776</v>
      </c>
      <c r="J180" s="2" t="s">
        <v>93</v>
      </c>
      <c r="K180" s="2" t="s">
        <v>1158</v>
      </c>
      <c r="L180" s="8" t="s">
        <v>1159</v>
      </c>
      <c r="M180" s="9">
        <v>103.0</v>
      </c>
      <c r="N180" s="2" t="s">
        <v>1160</v>
      </c>
      <c r="O180" s="2" t="s">
        <v>26</v>
      </c>
      <c r="P180" s="10"/>
      <c r="Q180" s="3"/>
      <c r="R180" s="8" t="s">
        <v>1161</v>
      </c>
      <c r="S180" s="2" t="s">
        <v>28</v>
      </c>
    </row>
    <row r="181" ht="67.5" customHeight="1">
      <c r="A181" s="2" t="s">
        <v>1162</v>
      </c>
      <c r="B181" s="3" t="str">
        <f>IMAGE("https://image.tmdb.org/t/p/w342/gMtjxIkEi0hnTV5lPHbgeZ4ZpUZ.jpg")</f>
        <v/>
      </c>
      <c r="C181" s="2" t="s">
        <v>1163</v>
      </c>
      <c r="D181" s="4">
        <v>40117.0</v>
      </c>
      <c r="E181" s="5">
        <v>2009.0</v>
      </c>
      <c r="F181" s="2" t="s">
        <v>21</v>
      </c>
      <c r="G181" s="6"/>
      <c r="H181" s="5">
        <v>37169.0</v>
      </c>
      <c r="I181" s="7">
        <v>5.181</v>
      </c>
      <c r="J181" s="2" t="s">
        <v>93</v>
      </c>
      <c r="K181" s="2" t="s">
        <v>1164</v>
      </c>
      <c r="L181" s="8" t="s">
        <v>1165</v>
      </c>
      <c r="M181" s="9">
        <v>92.0</v>
      </c>
      <c r="N181" s="2" t="s">
        <v>1166</v>
      </c>
      <c r="O181" s="2" t="s">
        <v>56</v>
      </c>
      <c r="P181" s="11">
        <v>4.0</v>
      </c>
      <c r="Q181" s="3"/>
      <c r="R181" s="8" t="s">
        <v>1167</v>
      </c>
      <c r="S181" s="2" t="s">
        <v>28</v>
      </c>
    </row>
    <row r="182" ht="67.5" customHeight="1">
      <c r="A182" s="2" t="s">
        <v>1168</v>
      </c>
      <c r="B182" s="3" t="str">
        <f>IMAGE("https://image.tmdb.org/t/p/w342/4FAA18ZIja70d1Tu5hr5cj2q1sB.jpg")</f>
        <v/>
      </c>
      <c r="C182" s="2" t="s">
        <v>1169</v>
      </c>
      <c r="D182" s="4">
        <v>41962.0</v>
      </c>
      <c r="E182" s="5">
        <v>2014.0</v>
      </c>
      <c r="F182" s="2" t="s">
        <v>21</v>
      </c>
      <c r="G182" s="6"/>
      <c r="H182" s="5">
        <v>131631.0</v>
      </c>
      <c r="I182" s="7">
        <v>6.818</v>
      </c>
      <c r="J182" s="2" t="s">
        <v>1170</v>
      </c>
      <c r="K182" s="2" t="s">
        <v>1171</v>
      </c>
      <c r="L182" s="8" t="s">
        <v>1172</v>
      </c>
      <c r="M182" s="9">
        <v>123.0</v>
      </c>
      <c r="N182" s="2" t="s">
        <v>1173</v>
      </c>
      <c r="O182" s="2" t="s">
        <v>26</v>
      </c>
      <c r="P182" s="10"/>
      <c r="Q182" s="3"/>
      <c r="R182" s="8" t="s">
        <v>1174</v>
      </c>
      <c r="S182" s="2" t="s">
        <v>28</v>
      </c>
    </row>
    <row r="183" ht="67.5" customHeight="1">
      <c r="A183" s="2" t="s">
        <v>1175</v>
      </c>
      <c r="B183" s="3" t="str">
        <f>IMAGE("https://image.tmdb.org/t/p/w342/lImKHDfExAulp16grYm8zD5eONE.jpg")</f>
        <v/>
      </c>
      <c r="C183" s="2" t="s">
        <v>1176</v>
      </c>
      <c r="D183" s="4">
        <v>42326.0</v>
      </c>
      <c r="E183" s="5">
        <v>2015.0</v>
      </c>
      <c r="F183" s="2" t="s">
        <v>21</v>
      </c>
      <c r="G183" s="6"/>
      <c r="H183" s="5">
        <v>131634.0</v>
      </c>
      <c r="I183" s="7">
        <v>6.902</v>
      </c>
      <c r="J183" s="2" t="s">
        <v>1177</v>
      </c>
      <c r="K183" s="2" t="s">
        <v>1178</v>
      </c>
      <c r="L183" s="8" t="s">
        <v>1179</v>
      </c>
      <c r="M183" s="9">
        <v>137.0</v>
      </c>
      <c r="N183" s="2" t="s">
        <v>1180</v>
      </c>
      <c r="O183" s="2" t="s">
        <v>26</v>
      </c>
      <c r="P183" s="10"/>
      <c r="Q183" s="3"/>
      <c r="R183" s="8" t="s">
        <v>1181</v>
      </c>
      <c r="S183" s="2" t="s">
        <v>28</v>
      </c>
    </row>
    <row r="184" ht="67.5" customHeight="1">
      <c r="A184" s="2" t="s">
        <v>1182</v>
      </c>
      <c r="B184" s="3" t="str">
        <f>IMAGE("https://image.tmdb.org/t/p/w342/zHzBTd502IZf60x8n2g0TB01vPF.jpg")</f>
        <v/>
      </c>
      <c r="C184" s="2" t="s">
        <v>1183</v>
      </c>
      <c r="D184" s="4">
        <v>42441.0</v>
      </c>
      <c r="E184" s="5">
        <v>2016.0</v>
      </c>
      <c r="F184" s="2" t="s">
        <v>31</v>
      </c>
      <c r="G184" s="6"/>
      <c r="H184" s="5">
        <v>376570.0</v>
      </c>
      <c r="I184" s="7">
        <v>6.73</v>
      </c>
      <c r="J184" s="2" t="s">
        <v>39</v>
      </c>
      <c r="K184" s="2" t="s">
        <v>1184</v>
      </c>
      <c r="L184" s="8" t="s">
        <v>1185</v>
      </c>
      <c r="M184" s="9">
        <v>82.0</v>
      </c>
      <c r="N184" s="2" t="s">
        <v>1186</v>
      </c>
      <c r="O184" s="2" t="s">
        <v>56</v>
      </c>
      <c r="P184" s="11">
        <v>5.0</v>
      </c>
      <c r="Q184" s="3"/>
      <c r="R184" s="8" t="s">
        <v>1187</v>
      </c>
      <c r="S184" s="2" t="s">
        <v>28</v>
      </c>
    </row>
    <row r="185" ht="67.5" customHeight="1">
      <c r="A185" s="2" t="s">
        <v>1188</v>
      </c>
      <c r="B185" s="3" t="str">
        <f>IMAGE("https://image.tmdb.org/t/p/w342/cQKyNm0Nz6KWiDBQF9w4aZAmOfC.jpg")</f>
        <v/>
      </c>
      <c r="C185" s="2" t="s">
        <v>1189</v>
      </c>
      <c r="D185" s="4">
        <v>44953.0</v>
      </c>
      <c r="E185" s="5">
        <v>2023.0</v>
      </c>
      <c r="F185" s="2" t="s">
        <v>21</v>
      </c>
      <c r="G185" s="6"/>
      <c r="H185" s="5">
        <v>667216.0</v>
      </c>
      <c r="I185" s="7">
        <v>6.063</v>
      </c>
      <c r="J185" s="2" t="s">
        <v>402</v>
      </c>
      <c r="K185" s="2" t="s">
        <v>1190</v>
      </c>
      <c r="L185" s="8" t="s">
        <v>1191</v>
      </c>
      <c r="M185" s="9">
        <v>118.0</v>
      </c>
      <c r="N185" s="2" t="s">
        <v>1192</v>
      </c>
      <c r="O185" s="2" t="s">
        <v>56</v>
      </c>
      <c r="P185" s="11">
        <v>5.0</v>
      </c>
      <c r="Q185" s="3"/>
      <c r="R185" s="8" t="s">
        <v>1193</v>
      </c>
      <c r="S185" s="2" t="s">
        <v>28</v>
      </c>
    </row>
    <row r="186" ht="67.5" customHeight="1">
      <c r="A186" s="2" t="s">
        <v>1194</v>
      </c>
      <c r="B186" s="3" t="str">
        <f>IMAGE("https://image.tmdb.org/t/p/w342/7gPOYKxoBzhfC8cLNMU3CKgURcm.jpg")</f>
        <v/>
      </c>
      <c r="C186" s="2" t="s">
        <v>1195</v>
      </c>
      <c r="D186" s="4">
        <v>39246.0</v>
      </c>
      <c r="E186" s="5">
        <v>2007.0</v>
      </c>
      <c r="F186" s="2" t="s">
        <v>21</v>
      </c>
      <c r="G186" s="6"/>
      <c r="H186" s="5">
        <v>13312.0</v>
      </c>
      <c r="I186" s="7">
        <v>6.74</v>
      </c>
      <c r="J186" s="2" t="s">
        <v>93</v>
      </c>
      <c r="K186" s="2" t="s">
        <v>1196</v>
      </c>
      <c r="L186" s="8" t="s">
        <v>1197</v>
      </c>
      <c r="M186" s="9">
        <v>83.0</v>
      </c>
      <c r="N186" s="2" t="s">
        <v>1198</v>
      </c>
      <c r="O186" s="2" t="s">
        <v>221</v>
      </c>
      <c r="P186" s="10"/>
      <c r="Q186" s="3"/>
      <c r="R186" s="8" t="s">
        <v>1199</v>
      </c>
      <c r="S186" s="2" t="s">
        <v>28</v>
      </c>
    </row>
    <row r="187" ht="67.5" customHeight="1">
      <c r="A187" s="2" t="s">
        <v>1200</v>
      </c>
      <c r="B187" s="3" t="str">
        <f>IMAGE("https://image.tmdb.org/t/p/w342/w5JjiB3O1CLDXbTJe1QpU5RHmlU.jpg")</f>
        <v/>
      </c>
      <c r="C187" s="2" t="s">
        <v>1201</v>
      </c>
      <c r="D187" s="4">
        <v>41529.0</v>
      </c>
      <c r="E187" s="5">
        <v>2013.0</v>
      </c>
      <c r="F187" s="2" t="s">
        <v>21</v>
      </c>
      <c r="G187" s="6"/>
      <c r="H187" s="5">
        <v>91586.0</v>
      </c>
      <c r="I187" s="7">
        <v>6.682</v>
      </c>
      <c r="J187" s="2" t="s">
        <v>39</v>
      </c>
      <c r="K187" s="2" t="s">
        <v>1202</v>
      </c>
      <c r="L187" s="8" t="s">
        <v>1203</v>
      </c>
      <c r="M187" s="9">
        <v>106.0</v>
      </c>
      <c r="N187" s="2" t="s">
        <v>1204</v>
      </c>
      <c r="O187" s="2" t="s">
        <v>56</v>
      </c>
      <c r="P187" s="11">
        <v>4.0</v>
      </c>
      <c r="Q187" s="3"/>
      <c r="R187" s="8" t="s">
        <v>1205</v>
      </c>
      <c r="S187" s="2" t="s">
        <v>28</v>
      </c>
    </row>
    <row r="188" ht="67.5" customHeight="1">
      <c r="A188" s="2" t="s">
        <v>1206</v>
      </c>
      <c r="B188" s="3" t="str">
        <f>IMAGE("https://image.tmdb.org/t/p/w342/iDdGfdNvY1EX0uDdA4Ru77fwMfc.jpg")</f>
        <v/>
      </c>
      <c r="C188" s="2" t="s">
        <v>1207</v>
      </c>
      <c r="D188" s="4">
        <v>42152.0</v>
      </c>
      <c r="E188" s="5">
        <v>2015.0</v>
      </c>
      <c r="F188" s="2" t="s">
        <v>21</v>
      </c>
      <c r="G188" s="6"/>
      <c r="H188" s="5">
        <v>280092.0</v>
      </c>
      <c r="I188" s="7">
        <v>6.3</v>
      </c>
      <c r="J188" s="2" t="s">
        <v>39</v>
      </c>
      <c r="K188" s="2" t="s">
        <v>1208</v>
      </c>
      <c r="L188" s="8" t="s">
        <v>1209</v>
      </c>
      <c r="M188" s="9">
        <v>97.0</v>
      </c>
      <c r="N188" s="2" t="s">
        <v>1210</v>
      </c>
      <c r="O188" s="2" t="s">
        <v>56</v>
      </c>
      <c r="P188" s="11">
        <v>4.0</v>
      </c>
      <c r="Q188" s="3"/>
      <c r="R188" s="8" t="s">
        <v>1211</v>
      </c>
      <c r="S188" s="2" t="s">
        <v>28</v>
      </c>
    </row>
    <row r="189" ht="67.5" customHeight="1">
      <c r="A189" s="2" t="s">
        <v>1212</v>
      </c>
      <c r="B189" s="3" t="str">
        <f>IMAGE("https://image.tmdb.org/t/p/w342/yQvGrMoipbRoddT0ZR8tPoR7NfX.jpg")</f>
        <v/>
      </c>
      <c r="C189" s="2" t="s">
        <v>1213</v>
      </c>
      <c r="D189" s="4">
        <v>41948.0</v>
      </c>
      <c r="E189" s="5">
        <v>2014.0</v>
      </c>
      <c r="F189" s="2" t="s">
        <v>31</v>
      </c>
      <c r="G189" s="6"/>
      <c r="H189" s="5">
        <v>157336.0</v>
      </c>
      <c r="I189" s="7">
        <v>8.475</v>
      </c>
      <c r="J189" s="2" t="s">
        <v>1214</v>
      </c>
      <c r="K189" s="2" t="s">
        <v>1215</v>
      </c>
      <c r="L189" s="8" t="s">
        <v>1216</v>
      </c>
      <c r="M189" s="9">
        <v>169.0</v>
      </c>
      <c r="N189" s="2" t="s">
        <v>1217</v>
      </c>
      <c r="O189" s="2" t="s">
        <v>56</v>
      </c>
      <c r="P189" s="11">
        <v>5.0</v>
      </c>
      <c r="Q189" s="3"/>
      <c r="R189" s="8" t="s">
        <v>1218</v>
      </c>
      <c r="S189" s="2" t="s">
        <v>28</v>
      </c>
    </row>
    <row r="190" ht="67.5" customHeight="1">
      <c r="A190" s="2" t="s">
        <v>1219</v>
      </c>
      <c r="B190" s="3" t="str">
        <f>IMAGE("https://image.tmdb.org/t/p/w342/9E2y5Q7WlCVNEhP5GiVTjhEhx1o.jpg")</f>
        <v/>
      </c>
      <c r="C190" s="2" t="s">
        <v>1220</v>
      </c>
      <c r="D190" s="4">
        <v>42984.0</v>
      </c>
      <c r="E190" s="5">
        <v>2017.0</v>
      </c>
      <c r="F190" s="2" t="s">
        <v>21</v>
      </c>
      <c r="G190" s="6"/>
      <c r="H190" s="5">
        <v>346364.0</v>
      </c>
      <c r="I190" s="7">
        <v>7.24</v>
      </c>
      <c r="J190" s="2" t="s">
        <v>1221</v>
      </c>
      <c r="K190" s="2" t="s">
        <v>1222</v>
      </c>
      <c r="L190" s="8" t="s">
        <v>1223</v>
      </c>
      <c r="M190" s="9">
        <v>135.0</v>
      </c>
      <c r="N190" s="2" t="s">
        <v>1224</v>
      </c>
      <c r="O190" s="2" t="s">
        <v>56</v>
      </c>
      <c r="P190" s="11">
        <v>5.0</v>
      </c>
      <c r="Q190" s="3"/>
      <c r="R190" s="8" t="s">
        <v>1225</v>
      </c>
      <c r="S190" s="2" t="s">
        <v>28</v>
      </c>
    </row>
    <row r="191" ht="67.5" customHeight="1">
      <c r="A191" s="2" t="s">
        <v>1226</v>
      </c>
      <c r="B191" s="3" t="str">
        <f>IMAGE("https://image.tmdb.org/t/p/w342/iwnQ1JH1wdWrGYkgWySptJ5284A.jpg")</f>
        <v/>
      </c>
      <c r="C191" s="2" t="s">
        <v>1227</v>
      </c>
      <c r="D191" s="4">
        <v>42039.0</v>
      </c>
      <c r="E191" s="5">
        <v>2014.0</v>
      </c>
      <c r="F191" s="2" t="s">
        <v>21</v>
      </c>
      <c r="G191" s="6"/>
      <c r="H191" s="5">
        <v>270303.0</v>
      </c>
      <c r="I191" s="7">
        <v>6.6</v>
      </c>
      <c r="J191" s="2" t="s">
        <v>73</v>
      </c>
      <c r="K191" s="2" t="s">
        <v>1228</v>
      </c>
      <c r="L191" s="8" t="s">
        <v>1229</v>
      </c>
      <c r="M191" s="9">
        <v>101.0</v>
      </c>
      <c r="N191" s="2" t="s">
        <v>1230</v>
      </c>
      <c r="O191" s="2" t="s">
        <v>56</v>
      </c>
      <c r="P191" s="11">
        <v>4.0</v>
      </c>
      <c r="Q191" s="3"/>
      <c r="R191" s="8" t="s">
        <v>1231</v>
      </c>
      <c r="S191" s="2" t="s">
        <v>28</v>
      </c>
    </row>
    <row r="192" ht="67.5" customHeight="1">
      <c r="A192" s="2" t="s">
        <v>1232</v>
      </c>
      <c r="B192" s="3" t="str">
        <f>IMAGE("https://image.tmdb.org/t/p/w342/zfE0R94v1E8cuKAerbskfD3VfUt.jpg")</f>
        <v/>
      </c>
      <c r="C192" s="2" t="s">
        <v>1233</v>
      </c>
      <c r="D192" s="4">
        <v>43712.0</v>
      </c>
      <c r="E192" s="5">
        <v>2019.0</v>
      </c>
      <c r="F192" s="2" t="s">
        <v>21</v>
      </c>
      <c r="G192" s="6"/>
      <c r="H192" s="5">
        <v>474350.0</v>
      </c>
      <c r="I192" s="7">
        <v>6.837</v>
      </c>
      <c r="J192" s="2" t="s">
        <v>1221</v>
      </c>
      <c r="K192" s="2" t="s">
        <v>1234</v>
      </c>
      <c r="L192" s="8" t="s">
        <v>1235</v>
      </c>
      <c r="M192" s="9">
        <v>169.0</v>
      </c>
      <c r="N192" s="2" t="s">
        <v>1236</v>
      </c>
      <c r="O192" s="2" t="s">
        <v>56</v>
      </c>
      <c r="P192" s="11">
        <v>5.0</v>
      </c>
      <c r="Q192" s="3"/>
      <c r="R192" s="8" t="s">
        <v>1237</v>
      </c>
      <c r="S192" s="2" t="s">
        <v>28</v>
      </c>
    </row>
    <row r="193" ht="67.5" customHeight="1">
      <c r="A193" s="2" t="s">
        <v>1238</v>
      </c>
      <c r="B193" s="3" t="str">
        <f>IMAGE("https://image.tmdb.org/t/p/w342/6vdj47RAWOUZBkeQmqToeZ7eaio.jpg")</f>
        <v/>
      </c>
      <c r="C193" s="2" t="s">
        <v>1239</v>
      </c>
      <c r="D193" s="4">
        <v>38660.0</v>
      </c>
      <c r="E193" s="5">
        <v>2005.0</v>
      </c>
      <c r="F193" s="2" t="s">
        <v>31</v>
      </c>
      <c r="G193" s="6"/>
      <c r="H193" s="5">
        <v>25.0</v>
      </c>
      <c r="I193" s="7">
        <v>6.682</v>
      </c>
      <c r="J193" s="2" t="s">
        <v>1240</v>
      </c>
      <c r="K193" s="2" t="s">
        <v>1241</v>
      </c>
      <c r="L193" s="8" t="s">
        <v>1242</v>
      </c>
      <c r="M193" s="9">
        <v>123.0</v>
      </c>
      <c r="N193" s="2" t="s">
        <v>1243</v>
      </c>
      <c r="O193" s="2" t="s">
        <v>26</v>
      </c>
      <c r="P193" s="10"/>
      <c r="Q193" s="3"/>
      <c r="R193" s="8" t="s">
        <v>1244</v>
      </c>
      <c r="S193" s="2" t="s">
        <v>28</v>
      </c>
    </row>
    <row r="194" ht="67.5" customHeight="1">
      <c r="A194" s="2" t="s">
        <v>1245</v>
      </c>
      <c r="B194" s="3" t="str">
        <f>IMAGE("https://image.tmdb.org/t/p/w342/Aacq05foqiWdXqetFv02HBvMoJy.jpg")</f>
        <v/>
      </c>
      <c r="C194" s="2" t="s">
        <v>1246</v>
      </c>
      <c r="D194" s="4">
        <v>34194.0</v>
      </c>
      <c r="E194" s="5">
        <v>1993.0</v>
      </c>
      <c r="F194" s="2" t="s">
        <v>31</v>
      </c>
      <c r="G194" s="6"/>
      <c r="H194" s="5">
        <v>10285.0</v>
      </c>
      <c r="I194" s="7">
        <v>4.59</v>
      </c>
      <c r="J194" s="2" t="s">
        <v>39</v>
      </c>
      <c r="K194" s="2" t="s">
        <v>1247</v>
      </c>
      <c r="L194" s="8" t="s">
        <v>1248</v>
      </c>
      <c r="M194" s="9">
        <v>88.0</v>
      </c>
      <c r="N194" s="2" t="s">
        <v>1249</v>
      </c>
      <c r="O194" s="2" t="s">
        <v>26</v>
      </c>
      <c r="P194" s="10"/>
      <c r="Q194" s="3"/>
      <c r="R194" s="8" t="s">
        <v>1250</v>
      </c>
      <c r="S194" s="2" t="s">
        <v>28</v>
      </c>
    </row>
    <row r="195" ht="67.5" customHeight="1">
      <c r="A195" s="2" t="s">
        <v>1251</v>
      </c>
      <c r="B195" s="3" t="str">
        <f>IMAGE("https://image.tmdb.org/t/p/w342/ggOND0hfoE0f3K857joSzEeIchb.jpg")</f>
        <v/>
      </c>
      <c r="C195" s="2" t="s">
        <v>1252</v>
      </c>
      <c r="D195" s="4">
        <v>37204.0</v>
      </c>
      <c r="E195" s="5">
        <v>2001.0</v>
      </c>
      <c r="F195" s="2" t="s">
        <v>31</v>
      </c>
      <c r="G195" s="6"/>
      <c r="H195" s="5">
        <v>11470.0</v>
      </c>
      <c r="I195" s="7">
        <v>4.852</v>
      </c>
      <c r="J195" s="2" t="s">
        <v>515</v>
      </c>
      <c r="K195" s="2" t="s">
        <v>1253</v>
      </c>
      <c r="L195" s="8" t="s">
        <v>1254</v>
      </c>
      <c r="M195" s="9">
        <v>91.0</v>
      </c>
      <c r="N195" s="2" t="s">
        <v>1255</v>
      </c>
      <c r="O195" s="2" t="s">
        <v>26</v>
      </c>
      <c r="P195" s="10"/>
      <c r="Q195" s="3"/>
      <c r="R195" s="8" t="s">
        <v>1256</v>
      </c>
      <c r="S195" s="2" t="s">
        <v>28</v>
      </c>
    </row>
    <row r="196" ht="67.5" customHeight="1">
      <c r="A196" s="2" t="s">
        <v>1257</v>
      </c>
      <c r="B196" s="3" t="str">
        <f>IMAGE("https://image.tmdb.org/t/p/w342/lxM6kqilAdpdhqUl2biYp5frUxE.jpg")</f>
        <v/>
      </c>
      <c r="C196" s="2" t="s">
        <v>1258</v>
      </c>
      <c r="D196" s="4">
        <v>27565.0</v>
      </c>
      <c r="E196" s="5">
        <v>1975.0</v>
      </c>
      <c r="F196" s="2" t="s">
        <v>31</v>
      </c>
      <c r="G196" s="6"/>
      <c r="H196" s="5">
        <v>578.0</v>
      </c>
      <c r="I196" s="7">
        <v>7.681</v>
      </c>
      <c r="J196" s="2" t="s">
        <v>1259</v>
      </c>
      <c r="K196" s="2" t="s">
        <v>1260</v>
      </c>
      <c r="L196" s="8" t="s">
        <v>1261</v>
      </c>
      <c r="M196" s="9">
        <v>124.0</v>
      </c>
      <c r="N196" s="2" t="s">
        <v>1262</v>
      </c>
      <c r="O196" s="2" t="s">
        <v>56</v>
      </c>
      <c r="P196" s="11">
        <v>5.0</v>
      </c>
      <c r="Q196" s="3"/>
      <c r="R196" s="8" t="s">
        <v>1263</v>
      </c>
      <c r="S196" s="2" t="s">
        <v>28</v>
      </c>
    </row>
    <row r="197" ht="67.5" customHeight="1">
      <c r="A197" s="2" t="s">
        <v>1264</v>
      </c>
      <c r="B197" s="3" t="str">
        <f>IMAGE("https://image.tmdb.org/t/p/w342/aEsAdMAhwKYFgnHHxMOknktQYKK.jpg")</f>
        <v/>
      </c>
      <c r="C197" s="2" t="s">
        <v>1265</v>
      </c>
      <c r="D197" s="4">
        <v>37125.0</v>
      </c>
      <c r="E197" s="5">
        <v>2001.0</v>
      </c>
      <c r="F197" s="2" t="s">
        <v>21</v>
      </c>
      <c r="G197" s="6"/>
      <c r="H197" s="5">
        <v>2294.0</v>
      </c>
      <c r="I197" s="7">
        <v>6.432</v>
      </c>
      <c r="J197" s="2" t="s">
        <v>1266</v>
      </c>
      <c r="K197" s="2" t="s">
        <v>1267</v>
      </c>
      <c r="L197" s="8" t="s">
        <v>1268</v>
      </c>
      <c r="M197" s="9">
        <v>104.0</v>
      </c>
      <c r="N197" s="2" t="s">
        <v>1269</v>
      </c>
      <c r="O197" s="2" t="s">
        <v>56</v>
      </c>
      <c r="P197" s="11">
        <v>3.0</v>
      </c>
      <c r="Q197" s="3"/>
      <c r="R197" s="8" t="s">
        <v>1270</v>
      </c>
      <c r="S197" s="2" t="s">
        <v>28</v>
      </c>
    </row>
    <row r="198" ht="67.5" customHeight="1">
      <c r="A198" s="2" t="s">
        <v>1271</v>
      </c>
      <c r="B198" s="3" t="str">
        <f>IMAGE("https://image.tmdb.org/t/p/w342/g410Y1U1ELbmJG14Zru3UAimm1G.jpg")</f>
        <v/>
      </c>
      <c r="C198" s="2" t="s">
        <v>1272</v>
      </c>
      <c r="D198" s="4">
        <v>37073.0</v>
      </c>
      <c r="E198" s="5">
        <v>2001.0</v>
      </c>
      <c r="F198" s="2" t="s">
        <v>21</v>
      </c>
      <c r="G198" s="6"/>
      <c r="H198" s="5">
        <v>8922.0</v>
      </c>
      <c r="I198" s="7">
        <v>6.48</v>
      </c>
      <c r="J198" s="2" t="s">
        <v>93</v>
      </c>
      <c r="K198" s="2" t="s">
        <v>1273</v>
      </c>
      <c r="L198" s="8" t="s">
        <v>1274</v>
      </c>
      <c r="M198" s="9">
        <v>90.0</v>
      </c>
      <c r="N198" s="2" t="s">
        <v>1275</v>
      </c>
      <c r="O198" s="2" t="s">
        <v>56</v>
      </c>
      <c r="P198" s="11">
        <v>4.0</v>
      </c>
      <c r="Q198" s="3"/>
      <c r="R198" s="8" t="s">
        <v>1276</v>
      </c>
      <c r="S198" s="2" t="s">
        <v>28</v>
      </c>
    </row>
    <row r="199" ht="67.5" customHeight="1">
      <c r="A199" s="2" t="s">
        <v>1277</v>
      </c>
      <c r="B199" s="3" t="str">
        <f>IMAGE("https://image.tmdb.org/t/p/w342/u2ghDfjcs3y5c8ata3COc4pWiAN.jpg")</f>
        <v/>
      </c>
      <c r="C199" s="2" t="s">
        <v>1278</v>
      </c>
      <c r="D199" s="4">
        <v>37841.0</v>
      </c>
      <c r="E199" s="5">
        <v>2003.0</v>
      </c>
      <c r="F199" s="2" t="s">
        <v>21</v>
      </c>
      <c r="G199" s="6"/>
      <c r="H199" s="5">
        <v>11351.0</v>
      </c>
      <c r="I199" s="7">
        <v>6.175</v>
      </c>
      <c r="J199" s="2" t="s">
        <v>93</v>
      </c>
      <c r="K199" s="2" t="s">
        <v>1279</v>
      </c>
      <c r="L199" s="8" t="s">
        <v>1280</v>
      </c>
      <c r="M199" s="9">
        <v>104.0</v>
      </c>
      <c r="N199" s="2" t="s">
        <v>1281</v>
      </c>
      <c r="O199" s="2" t="s">
        <v>26</v>
      </c>
      <c r="P199" s="10"/>
      <c r="Q199" s="3"/>
      <c r="R199" s="8" t="s">
        <v>1282</v>
      </c>
      <c r="S199" s="2" t="s">
        <v>28</v>
      </c>
    </row>
    <row r="200" ht="67.5" customHeight="1">
      <c r="A200" s="2" t="s">
        <v>1283</v>
      </c>
      <c r="B200" s="3" t="str">
        <f>IMAGE("https://image.tmdb.org/t/p/w342/7RwHxhdUNS996JPFNB9a7CJtlwR.jpg")</f>
        <v/>
      </c>
      <c r="C200" s="2" t="s">
        <v>1284</v>
      </c>
      <c r="D200" s="4">
        <v>43033.0</v>
      </c>
      <c r="E200" s="5">
        <v>2017.0</v>
      </c>
      <c r="F200" s="2" t="s">
        <v>21</v>
      </c>
      <c r="G200" s="6"/>
      <c r="H200" s="5">
        <v>298250.0</v>
      </c>
      <c r="I200" s="7">
        <v>6.216</v>
      </c>
      <c r="J200" s="2" t="s">
        <v>73</v>
      </c>
      <c r="K200" s="2" t="s">
        <v>1285</v>
      </c>
      <c r="L200" s="8" t="s">
        <v>1286</v>
      </c>
      <c r="M200" s="9">
        <v>91.0</v>
      </c>
      <c r="N200" s="2" t="s">
        <v>1287</v>
      </c>
      <c r="O200" s="2" t="s">
        <v>26</v>
      </c>
      <c r="P200" s="10"/>
      <c r="Q200" s="3"/>
      <c r="R200" s="8" t="s">
        <v>1288</v>
      </c>
      <c r="S200" s="2" t="s">
        <v>28</v>
      </c>
    </row>
    <row r="201" ht="67.5" customHeight="1">
      <c r="A201" s="2" t="s">
        <v>1289</v>
      </c>
      <c r="B201" s="3" t="str">
        <f>IMAGE("https://image.tmdb.org/t/p/w342/wXqWR7dHncNRbxoEGybEy7QTe9h.jpg")</f>
        <v/>
      </c>
      <c r="C201" s="2" t="s">
        <v>1290</v>
      </c>
      <c r="D201" s="4">
        <v>41928.0</v>
      </c>
      <c r="E201" s="5">
        <v>2014.0</v>
      </c>
      <c r="F201" s="2" t="s">
        <v>21</v>
      </c>
      <c r="G201" s="6"/>
      <c r="H201" s="5">
        <v>245891.0</v>
      </c>
      <c r="I201" s="7">
        <v>7.455</v>
      </c>
      <c r="J201" s="2" t="s">
        <v>409</v>
      </c>
      <c r="K201" s="2" t="s">
        <v>1291</v>
      </c>
      <c r="L201" s="8" t="s">
        <v>1292</v>
      </c>
      <c r="M201" s="9">
        <v>101.0</v>
      </c>
      <c r="N201" s="2" t="s">
        <v>1293</v>
      </c>
      <c r="O201" s="2" t="s">
        <v>56</v>
      </c>
      <c r="P201" s="11">
        <v>5.0</v>
      </c>
      <c r="Q201" s="3"/>
      <c r="R201" s="8" t="s">
        <v>1294</v>
      </c>
      <c r="S201" s="2" t="s">
        <v>28</v>
      </c>
    </row>
    <row r="202" ht="67.5" customHeight="1">
      <c r="A202" s="2" t="s">
        <v>1295</v>
      </c>
      <c r="B202" s="3" t="str">
        <f>IMAGE("https://image.tmdb.org/t/p/w342/hXWBc0ioZP3cN4zCu6SN3YHXZVO.jpg")</f>
        <v/>
      </c>
      <c r="C202" s="2" t="s">
        <v>1296</v>
      </c>
      <c r="D202" s="4">
        <v>42774.0</v>
      </c>
      <c r="E202" s="5">
        <v>2017.0</v>
      </c>
      <c r="F202" s="2" t="s">
        <v>21</v>
      </c>
      <c r="G202" s="6"/>
      <c r="H202" s="5">
        <v>324552.0</v>
      </c>
      <c r="I202" s="7">
        <v>7.3</v>
      </c>
      <c r="J202" s="2" t="s">
        <v>1297</v>
      </c>
      <c r="K202" s="2" t="s">
        <v>1298</v>
      </c>
      <c r="L202" s="8" t="s">
        <v>1299</v>
      </c>
      <c r="M202" s="9">
        <v>122.0</v>
      </c>
      <c r="N202" s="2" t="s">
        <v>1300</v>
      </c>
      <c r="O202" s="2" t="s">
        <v>26</v>
      </c>
      <c r="P202" s="10"/>
      <c r="Q202" s="3"/>
      <c r="R202" s="8" t="s">
        <v>1301</v>
      </c>
      <c r="S202" s="2" t="s">
        <v>28</v>
      </c>
    </row>
    <row r="203" ht="67.5" customHeight="1">
      <c r="A203" s="2" t="s">
        <v>1302</v>
      </c>
      <c r="B203" s="3" t="str">
        <f>IMAGE("https://image.tmdb.org/t/p/w342/ziEuG1essDuWuC5lpWUaw1uXY2O.jpg")</f>
        <v/>
      </c>
      <c r="C203" s="2" t="s">
        <v>1303</v>
      </c>
      <c r="D203" s="4">
        <v>43600.0</v>
      </c>
      <c r="E203" s="5">
        <v>2019.0</v>
      </c>
      <c r="F203" s="2" t="s">
        <v>21</v>
      </c>
      <c r="G203" s="6"/>
      <c r="H203" s="5">
        <v>458156.0</v>
      </c>
      <c r="I203" s="7">
        <v>7.437</v>
      </c>
      <c r="J203" s="2" t="s">
        <v>1297</v>
      </c>
      <c r="K203" s="2" t="s">
        <v>1304</v>
      </c>
      <c r="L203" s="8" t="s">
        <v>1305</v>
      </c>
      <c r="M203" s="9">
        <v>131.0</v>
      </c>
      <c r="N203" s="2" t="s">
        <v>1306</v>
      </c>
      <c r="O203" s="2" t="s">
        <v>26</v>
      </c>
      <c r="P203" s="10"/>
      <c r="Q203" s="3"/>
      <c r="R203" s="8" t="s">
        <v>1307</v>
      </c>
      <c r="S203" s="2" t="s">
        <v>28</v>
      </c>
    </row>
    <row r="204" ht="67.5" customHeight="1">
      <c r="A204" s="2" t="s">
        <v>1308</v>
      </c>
      <c r="B204" s="3" t="str">
        <f>IMAGE("https://image.tmdb.org/t/p/w342/vZloFAK7NmvMGKE7VkF5UHaz0I.jpg")</f>
        <v/>
      </c>
      <c r="C204" s="2" t="s">
        <v>1309</v>
      </c>
      <c r="D204" s="4">
        <v>45006.0</v>
      </c>
      <c r="E204" s="5">
        <v>2023.0</v>
      </c>
      <c r="F204" s="2" t="s">
        <v>21</v>
      </c>
      <c r="G204" s="6"/>
      <c r="H204" s="5">
        <v>603692.0</v>
      </c>
      <c r="I204" s="7">
        <v>7.706</v>
      </c>
      <c r="J204" s="2" t="s">
        <v>1297</v>
      </c>
      <c r="K204" s="2" t="s">
        <v>1310</v>
      </c>
      <c r="L204" s="8" t="s">
        <v>1311</v>
      </c>
      <c r="M204" s="9">
        <v>170.0</v>
      </c>
      <c r="N204" s="2" t="s">
        <v>1312</v>
      </c>
      <c r="O204" s="2" t="s">
        <v>26</v>
      </c>
      <c r="P204" s="10"/>
      <c r="Q204" s="3"/>
      <c r="R204" s="8" t="s">
        <v>1313</v>
      </c>
      <c r="S204" s="2" t="s">
        <v>28</v>
      </c>
    </row>
    <row r="205" ht="67.5" customHeight="1">
      <c r="A205" s="2" t="s">
        <v>1314</v>
      </c>
      <c r="B205" s="3" t="str">
        <f>IMAGE("https://image.tmdb.org/t/p/w342/6q1hlBC6rudc3mHwXsbMBR2xAT6.jpg")</f>
        <v/>
      </c>
      <c r="C205" s="2" t="s">
        <v>1315</v>
      </c>
      <c r="D205" s="4">
        <v>37547.0</v>
      </c>
      <c r="E205" s="5">
        <v>2002.0</v>
      </c>
      <c r="F205" s="2" t="s">
        <v>21</v>
      </c>
      <c r="G205" s="6"/>
      <c r="H205" s="5">
        <v>11838.0</v>
      </c>
      <c r="I205" s="7">
        <v>6.762</v>
      </c>
      <c r="J205" s="2" t="s">
        <v>93</v>
      </c>
      <c r="K205" s="2" t="s">
        <v>1316</v>
      </c>
      <c r="L205" s="8" t="s">
        <v>1317</v>
      </c>
      <c r="M205" s="9">
        <v>92.0</v>
      </c>
      <c r="N205" s="2" t="s">
        <v>1318</v>
      </c>
      <c r="O205" s="2" t="s">
        <v>26</v>
      </c>
      <c r="P205" s="10"/>
      <c r="Q205" s="3"/>
      <c r="R205" s="8" t="s">
        <v>1319</v>
      </c>
      <c r="S205" s="2" t="s">
        <v>28</v>
      </c>
    </row>
    <row r="206" ht="67.5" customHeight="1">
      <c r="A206" s="2" t="s">
        <v>1320</v>
      </c>
      <c r="B206" s="3" t="str">
        <f>IMAGE("https://image.tmdb.org/t/p/w342/maFjKnJ62hDQ9E66dKqDZgbUy0H.jpg")</f>
        <v/>
      </c>
      <c r="C206" s="2" t="s">
        <v>1321</v>
      </c>
      <c r="D206" s="4">
        <v>34131.0</v>
      </c>
      <c r="E206" s="5">
        <v>1993.0</v>
      </c>
      <c r="F206" s="2" t="s">
        <v>31</v>
      </c>
      <c r="G206" s="6"/>
      <c r="H206" s="5">
        <v>329.0</v>
      </c>
      <c r="I206" s="7">
        <v>7.969</v>
      </c>
      <c r="J206" s="2" t="s">
        <v>1322</v>
      </c>
      <c r="K206" s="2" t="s">
        <v>1323</v>
      </c>
      <c r="L206" s="8" t="s">
        <v>1324</v>
      </c>
      <c r="M206" s="9">
        <v>127.0</v>
      </c>
      <c r="N206" s="2" t="s">
        <v>1325</v>
      </c>
      <c r="O206" s="2" t="s">
        <v>56</v>
      </c>
      <c r="P206" s="11">
        <v>5.0</v>
      </c>
      <c r="Q206" s="3"/>
      <c r="R206" s="8" t="s">
        <v>1326</v>
      </c>
      <c r="S206" s="2" t="s">
        <v>28</v>
      </c>
    </row>
    <row r="207" ht="67.5" customHeight="1">
      <c r="A207" s="2" t="s">
        <v>1327</v>
      </c>
      <c r="B207" s="3" t="str">
        <f>IMAGE("https://image.tmdb.org/t/p/w342/oQXj4NUfS3r3gHXtDOzcJgj1lLc.jpg")</f>
        <v/>
      </c>
      <c r="C207" s="2" t="s">
        <v>1328</v>
      </c>
      <c r="D207" s="4">
        <v>37090.0</v>
      </c>
      <c r="E207" s="5">
        <v>2001.0</v>
      </c>
      <c r="F207" s="2" t="s">
        <v>31</v>
      </c>
      <c r="G207" s="6"/>
      <c r="H207" s="5">
        <v>331.0</v>
      </c>
      <c r="I207" s="7">
        <v>6.174</v>
      </c>
      <c r="J207" s="2" t="s">
        <v>1329</v>
      </c>
      <c r="K207" s="2" t="s">
        <v>1330</v>
      </c>
      <c r="L207" s="8" t="s">
        <v>1331</v>
      </c>
      <c r="M207" s="9">
        <v>92.0</v>
      </c>
      <c r="N207" s="2" t="s">
        <v>1332</v>
      </c>
      <c r="O207" s="2" t="s">
        <v>56</v>
      </c>
      <c r="P207" s="11">
        <v>5.0</v>
      </c>
      <c r="Q207" s="3"/>
      <c r="R207" s="8" t="s">
        <v>1333</v>
      </c>
      <c r="S207" s="2" t="s">
        <v>28</v>
      </c>
    </row>
    <row r="208" ht="67.5" customHeight="1">
      <c r="A208" s="2" t="s">
        <v>1334</v>
      </c>
      <c r="B208" s="3" t="str">
        <f>IMAGE("https://image.tmdb.org/t/p/w342/rhr4y79GpxQF9IsfJItRXVaoGs4.jpg")</f>
        <v/>
      </c>
      <c r="C208" s="2" t="s">
        <v>1335</v>
      </c>
      <c r="D208" s="4">
        <v>42161.0</v>
      </c>
      <c r="E208" s="5">
        <v>2015.0</v>
      </c>
      <c r="F208" s="2" t="s">
        <v>31</v>
      </c>
      <c r="G208" s="6"/>
      <c r="H208" s="5">
        <v>135397.0</v>
      </c>
      <c r="I208" s="7">
        <v>6.7</v>
      </c>
      <c r="J208" s="2" t="s">
        <v>1322</v>
      </c>
      <c r="K208" s="2" t="s">
        <v>1336</v>
      </c>
      <c r="L208" s="8" t="s">
        <v>1337</v>
      </c>
      <c r="M208" s="9">
        <v>124.0</v>
      </c>
      <c r="N208" s="2" t="s">
        <v>1338</v>
      </c>
      <c r="O208" s="2" t="s">
        <v>56</v>
      </c>
      <c r="P208" s="11">
        <v>4.0</v>
      </c>
      <c r="Q208" s="3"/>
      <c r="R208" s="8" t="s">
        <v>1339</v>
      </c>
      <c r="S208" s="2" t="s">
        <v>28</v>
      </c>
    </row>
    <row r="209" ht="67.5" customHeight="1">
      <c r="A209" s="2" t="s">
        <v>1340</v>
      </c>
      <c r="B209" s="3" t="str">
        <f>IMAGE("https://image.tmdb.org/t/p/w342/jbAvCACjLf1ZG0unB2tdmx5HAf1.jpg")</f>
        <v/>
      </c>
      <c r="C209" s="2" t="s">
        <v>1341</v>
      </c>
      <c r="D209" s="4">
        <v>44713.0</v>
      </c>
      <c r="E209" s="5">
        <v>2022.0</v>
      </c>
      <c r="F209" s="2" t="s">
        <v>21</v>
      </c>
      <c r="G209" s="6"/>
      <c r="H209" s="5">
        <v>507086.0</v>
      </c>
      <c r="I209" s="7">
        <v>6.599</v>
      </c>
      <c r="J209" s="2" t="s">
        <v>1342</v>
      </c>
      <c r="K209" s="2" t="s">
        <v>1343</v>
      </c>
      <c r="L209" s="8" t="s">
        <v>1344</v>
      </c>
      <c r="M209" s="9">
        <v>147.0</v>
      </c>
      <c r="N209" s="2" t="s">
        <v>1345</v>
      </c>
      <c r="O209" s="2" t="s">
        <v>56</v>
      </c>
      <c r="P209" s="11">
        <v>3.0</v>
      </c>
      <c r="Q209" s="3"/>
      <c r="R209" s="8" t="s">
        <v>1346</v>
      </c>
      <c r="S209" s="2" t="s">
        <v>28</v>
      </c>
    </row>
    <row r="210" ht="67.5" customHeight="1">
      <c r="A210" s="2" t="s">
        <v>1347</v>
      </c>
      <c r="B210" s="3" t="str">
        <f>IMAGE("https://image.tmdb.org/t/p/w342/x2Us3jR6ToMJjbcPbLimYoxf6xr.jpg")</f>
        <v/>
      </c>
      <c r="C210" s="2" t="s">
        <v>1348</v>
      </c>
      <c r="D210" s="4">
        <v>43257.0</v>
      </c>
      <c r="E210" s="5">
        <v>2018.0</v>
      </c>
      <c r="F210" s="2" t="s">
        <v>21</v>
      </c>
      <c r="G210" s="6"/>
      <c r="H210" s="5">
        <v>351286.0</v>
      </c>
      <c r="I210" s="7">
        <v>6.531</v>
      </c>
      <c r="J210" s="2" t="s">
        <v>1342</v>
      </c>
      <c r="K210" s="2" t="s">
        <v>1349</v>
      </c>
      <c r="L210" s="8" t="s">
        <v>1350</v>
      </c>
      <c r="M210" s="9">
        <v>129.0</v>
      </c>
      <c r="N210" s="2" t="s">
        <v>1351</v>
      </c>
      <c r="O210" s="2" t="s">
        <v>56</v>
      </c>
      <c r="P210" s="11">
        <v>3.0</v>
      </c>
      <c r="Q210" s="3"/>
      <c r="R210" s="8" t="s">
        <v>1352</v>
      </c>
      <c r="S210" s="2" t="s">
        <v>28</v>
      </c>
    </row>
    <row r="211" ht="67.5" customHeight="1">
      <c r="A211" s="2" t="s">
        <v>1353</v>
      </c>
      <c r="B211" s="3" t="str">
        <f>IMAGE("https://image.tmdb.org/t/p/w342/1RICxzeoNCAO5NpcRMIgg1XT6fm.jpg")</f>
        <v/>
      </c>
      <c r="C211" s="2" t="s">
        <v>1354</v>
      </c>
      <c r="D211" s="4">
        <v>45831.0</v>
      </c>
      <c r="E211" s="5">
        <v>2025.0</v>
      </c>
      <c r="F211" s="2" t="s">
        <v>31</v>
      </c>
      <c r="G211" s="6"/>
      <c r="H211" s="5">
        <v>1234821.0</v>
      </c>
      <c r="I211" s="7">
        <v>6.3</v>
      </c>
      <c r="J211" s="2" t="s">
        <v>1355</v>
      </c>
      <c r="K211" s="2" t="s">
        <v>1356</v>
      </c>
      <c r="L211" s="8" t="s">
        <v>1357</v>
      </c>
      <c r="M211" s="9">
        <v>134.0</v>
      </c>
      <c r="N211" s="2" t="s">
        <v>1358</v>
      </c>
      <c r="O211" s="2" t="s">
        <v>26</v>
      </c>
      <c r="P211" s="10"/>
      <c r="Q211" s="3"/>
      <c r="R211" s="8" t="s">
        <v>1359</v>
      </c>
      <c r="S211" s="2" t="s">
        <v>28</v>
      </c>
    </row>
    <row r="212" ht="67.5" customHeight="1">
      <c r="A212" s="2" t="s">
        <v>1360</v>
      </c>
      <c r="B212" s="3" t="str">
        <f>IMAGE("https://image.tmdb.org/t/p/w342/iHMbrTHJwocsNvo5murCBw0CwTo.jpg")</f>
        <v/>
      </c>
      <c r="C212" s="2" t="s">
        <v>1361</v>
      </c>
      <c r="D212" s="4">
        <v>40263.0</v>
      </c>
      <c r="E212" s="5">
        <v>2010.0</v>
      </c>
      <c r="F212" s="2" t="s">
        <v>21</v>
      </c>
      <c r="G212" s="6"/>
      <c r="H212" s="5">
        <v>23483.0</v>
      </c>
      <c r="I212" s="7">
        <v>7.1</v>
      </c>
      <c r="J212" s="2" t="s">
        <v>1362</v>
      </c>
      <c r="K212" s="2" t="s">
        <v>1363</v>
      </c>
      <c r="L212" s="8" t="s">
        <v>1364</v>
      </c>
      <c r="M212" s="9">
        <v>118.0</v>
      </c>
      <c r="N212" s="2" t="s">
        <v>1365</v>
      </c>
      <c r="O212" s="2" t="s">
        <v>56</v>
      </c>
      <c r="P212" s="11">
        <v>5.0</v>
      </c>
      <c r="Q212" s="3"/>
      <c r="R212" s="8" t="s">
        <v>1366</v>
      </c>
      <c r="S212" s="2" t="s">
        <v>28</v>
      </c>
    </row>
    <row r="213" ht="67.5" customHeight="1">
      <c r="A213" s="2" t="s">
        <v>1367</v>
      </c>
      <c r="B213" s="3" t="str">
        <f>IMAGE("https://image.tmdb.org/t/p/w342/1go2A3gdQjaMuHWquybgoJlQRcX.jpg")</f>
        <v/>
      </c>
      <c r="C213" s="2" t="s">
        <v>1368</v>
      </c>
      <c r="D213" s="4">
        <v>41472.0</v>
      </c>
      <c r="E213" s="5">
        <v>2013.0</v>
      </c>
      <c r="F213" s="2" t="s">
        <v>21</v>
      </c>
      <c r="G213" s="6"/>
      <c r="H213" s="5">
        <v>59859.0</v>
      </c>
      <c r="I213" s="7">
        <v>6.4</v>
      </c>
      <c r="J213" s="2" t="s">
        <v>1369</v>
      </c>
      <c r="K213" s="2" t="s">
        <v>1370</v>
      </c>
      <c r="L213" s="8" t="s">
        <v>1371</v>
      </c>
      <c r="M213" s="9">
        <v>103.0</v>
      </c>
      <c r="N213" s="2" t="s">
        <v>1372</v>
      </c>
      <c r="O213" s="2" t="s">
        <v>56</v>
      </c>
      <c r="P213" s="11">
        <v>4.0</v>
      </c>
      <c r="Q213" s="3"/>
      <c r="R213" s="8" t="s">
        <v>1373</v>
      </c>
      <c r="S213" s="2" t="s">
        <v>28</v>
      </c>
    </row>
    <row r="214" ht="67.5" customHeight="1">
      <c r="A214" s="2" t="s">
        <v>1374</v>
      </c>
      <c r="B214" s="3" t="str">
        <f>IMAGE("https://image.tmdb.org/t/p/w342/6a2HY6UmD7XiDD3NokgaBAXEsD2.jpg")</f>
        <v/>
      </c>
      <c r="C214" s="2" t="s">
        <v>1375</v>
      </c>
      <c r="D214" s="4">
        <v>38698.0</v>
      </c>
      <c r="E214" s="5">
        <v>2005.0</v>
      </c>
      <c r="F214" s="2" t="s">
        <v>31</v>
      </c>
      <c r="G214" s="6"/>
      <c r="H214" s="5">
        <v>254.0</v>
      </c>
      <c r="I214" s="7">
        <v>6.888</v>
      </c>
      <c r="J214" s="2" t="s">
        <v>1376</v>
      </c>
      <c r="K214" s="2" t="s">
        <v>1377</v>
      </c>
      <c r="L214" s="8" t="s">
        <v>1378</v>
      </c>
      <c r="M214" s="9">
        <v>188.0</v>
      </c>
      <c r="N214" s="2" t="s">
        <v>1379</v>
      </c>
      <c r="O214" s="2" t="s">
        <v>56</v>
      </c>
      <c r="P214" s="11">
        <v>4.0</v>
      </c>
      <c r="Q214" s="3"/>
      <c r="R214" s="8" t="s">
        <v>1380</v>
      </c>
      <c r="S214" s="2" t="s">
        <v>28</v>
      </c>
    </row>
    <row r="215" ht="67.5" customHeight="1">
      <c r="A215" s="2" t="s">
        <v>1381</v>
      </c>
      <c r="B215" s="3" t="str">
        <f>IMAGE("https://image.tmdb.org/t/p/w342/OG0mxQt4YaNIWiz8EKJSHe9lPh.jpg")</f>
        <v/>
      </c>
      <c r="C215" s="2" t="s">
        <v>1382</v>
      </c>
      <c r="D215" s="4">
        <v>39891.0</v>
      </c>
      <c r="E215" s="5">
        <v>2009.0</v>
      </c>
      <c r="F215" s="2" t="s">
        <v>31</v>
      </c>
      <c r="G215" s="6"/>
      <c r="H215" s="5">
        <v>13811.0</v>
      </c>
      <c r="I215" s="7">
        <v>6.254</v>
      </c>
      <c r="J215" s="2" t="s">
        <v>1383</v>
      </c>
      <c r="K215" s="2" t="s">
        <v>1384</v>
      </c>
      <c r="L215" s="8" t="s">
        <v>1385</v>
      </c>
      <c r="M215" s="9">
        <v>121.0</v>
      </c>
      <c r="N215" s="2" t="s">
        <v>1386</v>
      </c>
      <c r="O215" s="2" t="s">
        <v>56</v>
      </c>
      <c r="P215" s="11">
        <v>5.0</v>
      </c>
      <c r="Q215" s="3"/>
      <c r="R215" s="8" t="s">
        <v>1387</v>
      </c>
      <c r="S215" s="2" t="s">
        <v>28</v>
      </c>
    </row>
    <row r="216" ht="67.5" customHeight="1">
      <c r="A216" s="2" t="s">
        <v>1388</v>
      </c>
      <c r="B216" s="3" t="str">
        <f>IMAGE("https://image.tmdb.org/t/p/w342/r2517Vz9EhDhj88qwbDVj8DCRZN.jpg")</f>
        <v/>
      </c>
      <c r="C216" s="2" t="s">
        <v>1389</v>
      </c>
      <c r="D216" s="4">
        <v>42802.0</v>
      </c>
      <c r="E216" s="5">
        <v>2017.0</v>
      </c>
      <c r="F216" s="2" t="s">
        <v>21</v>
      </c>
      <c r="G216" s="6"/>
      <c r="H216" s="5">
        <v>293167.0</v>
      </c>
      <c r="I216" s="7">
        <v>6.6</v>
      </c>
      <c r="J216" s="2" t="s">
        <v>171</v>
      </c>
      <c r="K216" s="2" t="s">
        <v>1390</v>
      </c>
      <c r="L216" s="8" t="s">
        <v>1391</v>
      </c>
      <c r="M216" s="9">
        <v>118.0</v>
      </c>
      <c r="N216" s="2" t="s">
        <v>1392</v>
      </c>
      <c r="O216" s="2" t="s">
        <v>26</v>
      </c>
      <c r="P216" s="10"/>
      <c r="Q216" s="3"/>
      <c r="R216" s="8" t="s">
        <v>1393</v>
      </c>
      <c r="S216" s="2" t="s">
        <v>28</v>
      </c>
    </row>
    <row r="217" ht="67.5" customHeight="1">
      <c r="A217" s="2" t="s">
        <v>1394</v>
      </c>
      <c r="B217" s="3" t="str">
        <f>IMAGE("https://image.tmdb.org/t/p/w342/mzPCU6xQ2XQmD76cDVZPm5PZAaS.jpg")</f>
        <v/>
      </c>
      <c r="C217" s="2" t="s">
        <v>1395</v>
      </c>
      <c r="D217" s="4">
        <v>42334.0</v>
      </c>
      <c r="E217" s="5">
        <v>2015.0</v>
      </c>
      <c r="F217" s="2" t="s">
        <v>21</v>
      </c>
      <c r="G217" s="6"/>
      <c r="H217" s="5">
        <v>287903.0</v>
      </c>
      <c r="I217" s="7">
        <v>6.202</v>
      </c>
      <c r="J217" s="2" t="s">
        <v>616</v>
      </c>
      <c r="K217" s="2" t="s">
        <v>1396</v>
      </c>
      <c r="L217" s="8" t="s">
        <v>1397</v>
      </c>
      <c r="M217" s="9">
        <v>98.0</v>
      </c>
      <c r="N217" s="2" t="s">
        <v>1398</v>
      </c>
      <c r="O217" s="2" t="s">
        <v>56</v>
      </c>
      <c r="P217" s="11">
        <v>4.0</v>
      </c>
      <c r="Q217" s="3"/>
      <c r="R217" s="8" t="s">
        <v>1399</v>
      </c>
      <c r="S217" s="2" t="s">
        <v>28</v>
      </c>
    </row>
    <row r="218" ht="67.5" customHeight="1">
      <c r="A218" s="2" t="s">
        <v>1400</v>
      </c>
      <c r="B218" s="3" t="str">
        <f>IMAGE("https://image.tmdb.org/t/p/w342/hbSdA1DmNA9IlfVoqJkIWYF2oYm.jpg")</f>
        <v/>
      </c>
      <c r="C218" s="2" t="s">
        <v>1401</v>
      </c>
      <c r="D218" s="4">
        <v>31590.0</v>
      </c>
      <c r="E218" s="5">
        <v>1986.0</v>
      </c>
      <c r="F218" s="2" t="s">
        <v>21</v>
      </c>
      <c r="G218" s="6"/>
      <c r="H218" s="5">
        <v>13597.0</v>
      </c>
      <c r="I218" s="7">
        <v>7.3</v>
      </c>
      <c r="J218" s="2" t="s">
        <v>1402</v>
      </c>
      <c r="K218" s="2" t="s">
        <v>1403</v>
      </c>
      <c r="L218" s="8" t="s">
        <v>1404</v>
      </c>
      <c r="M218" s="9">
        <v>101.0</v>
      </c>
      <c r="N218" s="2" t="s">
        <v>1405</v>
      </c>
      <c r="O218" s="2" t="s">
        <v>26</v>
      </c>
      <c r="P218" s="10"/>
      <c r="Q218" s="3"/>
      <c r="R218" s="8" t="s">
        <v>1406</v>
      </c>
      <c r="S218" s="2" t="s">
        <v>28</v>
      </c>
    </row>
    <row r="219" ht="67.5" customHeight="1">
      <c r="A219" s="2" t="s">
        <v>1407</v>
      </c>
      <c r="B219" s="3" t="str">
        <f>IMAGE("https://image.tmdb.org/t/p/w342/g0zCELYfBfSv8TOGC13buABVN53.jpg")</f>
        <v/>
      </c>
      <c r="C219" s="2" t="s">
        <v>1408</v>
      </c>
      <c r="D219" s="4">
        <v>40024.0</v>
      </c>
      <c r="E219" s="5">
        <v>2008.0</v>
      </c>
      <c r="F219" s="2" t="s">
        <v>21</v>
      </c>
      <c r="G219" s="6"/>
      <c r="H219" s="5">
        <v>27374.0</v>
      </c>
      <c r="I219" s="7">
        <v>6.162</v>
      </c>
      <c r="J219" s="2" t="s">
        <v>39</v>
      </c>
      <c r="K219" s="2" t="s">
        <v>1409</v>
      </c>
      <c r="L219" s="8" t="s">
        <v>1410</v>
      </c>
      <c r="M219" s="9">
        <v>87.0</v>
      </c>
      <c r="N219" s="2" t="s">
        <v>1411</v>
      </c>
      <c r="O219" s="2" t="s">
        <v>26</v>
      </c>
      <c r="P219" s="10"/>
      <c r="Q219" s="3"/>
      <c r="R219" s="8" t="s">
        <v>1412</v>
      </c>
      <c r="S219" s="2" t="s">
        <v>28</v>
      </c>
    </row>
    <row r="220" ht="67.5" customHeight="1">
      <c r="A220" s="2" t="s">
        <v>1413</v>
      </c>
      <c r="B220" s="3" t="str">
        <f>IMAGE("https://image.tmdb.org/t/p/w342/xxp0qcZ3n2YA53SIzWilDSfIaA4.jpg")</f>
        <v/>
      </c>
      <c r="C220" s="2" t="s">
        <v>1414</v>
      </c>
      <c r="D220" s="4">
        <v>38521.0</v>
      </c>
      <c r="E220" s="5">
        <v>2005.0</v>
      </c>
      <c r="F220" s="2" t="s">
        <v>21</v>
      </c>
      <c r="G220" s="6"/>
      <c r="H220" s="5">
        <v>11683.0</v>
      </c>
      <c r="I220" s="7">
        <v>6.257</v>
      </c>
      <c r="J220" s="2" t="s">
        <v>402</v>
      </c>
      <c r="K220" s="2" t="s">
        <v>1415</v>
      </c>
      <c r="L220" s="8" t="s">
        <v>1416</v>
      </c>
      <c r="M220" s="9">
        <v>93.0</v>
      </c>
      <c r="N220" s="2" t="s">
        <v>1417</v>
      </c>
      <c r="O220" s="2" t="s">
        <v>26</v>
      </c>
      <c r="P220" s="10"/>
      <c r="Q220" s="3"/>
      <c r="R220" s="8" t="s">
        <v>1418</v>
      </c>
      <c r="S220" s="2" t="s">
        <v>28</v>
      </c>
    </row>
    <row r="221" ht="67.5" customHeight="1">
      <c r="A221" s="2" t="s">
        <v>1419</v>
      </c>
      <c r="B221" s="3" t="str">
        <f>IMAGE("https://image.tmdb.org/t/p/w342/2Y35XCUS8U8vC8vs0HDEVkPu1BM.jpg")</f>
        <v/>
      </c>
      <c r="C221" s="2" t="s">
        <v>1420</v>
      </c>
      <c r="D221" s="4">
        <v>39885.0</v>
      </c>
      <c r="E221" s="5">
        <v>2009.0</v>
      </c>
      <c r="F221" s="2" t="s">
        <v>31</v>
      </c>
      <c r="G221" s="6"/>
      <c r="H221" s="5">
        <v>18405.0</v>
      </c>
      <c r="I221" s="7">
        <v>6.495</v>
      </c>
      <c r="J221" s="2" t="s">
        <v>1421</v>
      </c>
      <c r="K221" s="2" t="s">
        <v>1422</v>
      </c>
      <c r="L221" s="8" t="s">
        <v>1423</v>
      </c>
      <c r="M221" s="9">
        <v>113.0</v>
      </c>
      <c r="N221" s="2" t="s">
        <v>1424</v>
      </c>
      <c r="O221" s="2" t="s">
        <v>56</v>
      </c>
      <c r="P221" s="11">
        <v>3.0</v>
      </c>
      <c r="Q221" s="3"/>
      <c r="R221" s="8" t="s">
        <v>1425</v>
      </c>
      <c r="S221" s="2" t="s">
        <v>28</v>
      </c>
    </row>
    <row r="222" ht="67.5" customHeight="1">
      <c r="A222" s="2" t="s">
        <v>1426</v>
      </c>
      <c r="B222" s="3" t="str">
        <f>IMAGE("https://image.tmdb.org/t/p/w342/8BnElzAQQpp7ZgdJJiAe1diomr4.jpg")</f>
        <v/>
      </c>
      <c r="C222" s="2" t="s">
        <v>1427</v>
      </c>
      <c r="D222" s="4">
        <v>42572.0</v>
      </c>
      <c r="E222" s="5">
        <v>2016.0</v>
      </c>
      <c r="F222" s="2" t="s">
        <v>21</v>
      </c>
      <c r="G222" s="6"/>
      <c r="H222" s="5">
        <v>345911.0</v>
      </c>
      <c r="I222" s="7">
        <v>6.37</v>
      </c>
      <c r="J222" s="2" t="s">
        <v>93</v>
      </c>
      <c r="K222" s="2" t="s">
        <v>1428</v>
      </c>
      <c r="L222" s="8" t="s">
        <v>1429</v>
      </c>
      <c r="M222" s="9">
        <v>81.0</v>
      </c>
      <c r="N222" s="2" t="s">
        <v>1430</v>
      </c>
      <c r="O222" s="2" t="s">
        <v>56</v>
      </c>
      <c r="P222" s="11">
        <v>2.0</v>
      </c>
      <c r="Q222" s="3"/>
      <c r="R222" s="8" t="s">
        <v>1431</v>
      </c>
      <c r="S222" s="2" t="s">
        <v>28</v>
      </c>
    </row>
    <row r="223" ht="67.5" customHeight="1">
      <c r="A223" s="2" t="s">
        <v>1432</v>
      </c>
      <c r="B223" s="3" t="str">
        <f>IMAGE("https://image.tmdb.org/t/p/w342/6oom5QYQ2yQTMJIbnvbkBL9cHo6.jpg")</f>
        <v/>
      </c>
      <c r="C223" s="2" t="s">
        <v>1433</v>
      </c>
      <c r="D223" s="4">
        <v>37243.0</v>
      </c>
      <c r="E223" s="5">
        <v>2001.0</v>
      </c>
      <c r="F223" s="2" t="s">
        <v>31</v>
      </c>
      <c r="G223" s="6"/>
      <c r="H223" s="5">
        <v>120.0</v>
      </c>
      <c r="I223" s="7">
        <v>8.435</v>
      </c>
      <c r="J223" s="2" t="s">
        <v>1055</v>
      </c>
      <c r="K223" s="2" t="s">
        <v>1434</v>
      </c>
      <c r="L223" s="8" t="s">
        <v>1435</v>
      </c>
      <c r="M223" s="9">
        <v>179.0</v>
      </c>
      <c r="N223" s="2" t="s">
        <v>1436</v>
      </c>
      <c r="O223" s="2" t="s">
        <v>56</v>
      </c>
      <c r="P223" s="11">
        <v>4.0</v>
      </c>
      <c r="Q223" s="3"/>
      <c r="R223" s="8" t="s">
        <v>1437</v>
      </c>
      <c r="S223" s="2" t="s">
        <v>28</v>
      </c>
    </row>
    <row r="224" ht="67.5" customHeight="1">
      <c r="A224" s="2" t="s">
        <v>1438</v>
      </c>
      <c r="B224" s="3" t="str">
        <f>IMAGE("https://image.tmdb.org/t/p/w342/rCzpDGLbOoPwLjy3OAm5NUPOTrC.jpg")</f>
        <v/>
      </c>
      <c r="C224" s="2" t="s">
        <v>1439</v>
      </c>
      <c r="D224" s="4">
        <v>37972.0</v>
      </c>
      <c r="E224" s="5">
        <v>2003.0</v>
      </c>
      <c r="F224" s="2" t="s">
        <v>31</v>
      </c>
      <c r="G224" s="6"/>
      <c r="H224" s="5">
        <v>122.0</v>
      </c>
      <c r="I224" s="7">
        <v>8.498</v>
      </c>
      <c r="J224" s="2" t="s">
        <v>1055</v>
      </c>
      <c r="K224" s="2" t="s">
        <v>1440</v>
      </c>
      <c r="L224" s="8" t="s">
        <v>1441</v>
      </c>
      <c r="M224" s="9">
        <v>201.0</v>
      </c>
      <c r="N224" s="2" t="s">
        <v>1442</v>
      </c>
      <c r="O224" s="2" t="s">
        <v>56</v>
      </c>
      <c r="P224" s="11">
        <v>4.0</v>
      </c>
      <c r="Q224" s="3"/>
      <c r="R224" s="8" t="s">
        <v>1443</v>
      </c>
      <c r="S224" s="2" t="s">
        <v>28</v>
      </c>
    </row>
    <row r="225" ht="67.5" customHeight="1">
      <c r="A225" s="2" t="s">
        <v>1444</v>
      </c>
      <c r="B225" s="3" t="str">
        <f>IMAGE("https://image.tmdb.org/t/p/w342/5VTN0pR8gcqV3EPUHHfMGnJYN9L.jpg")</f>
        <v/>
      </c>
      <c r="C225" s="2" t="s">
        <v>1445</v>
      </c>
      <c r="D225" s="4">
        <v>37608.0</v>
      </c>
      <c r="E225" s="5">
        <v>2002.0</v>
      </c>
      <c r="F225" s="2" t="s">
        <v>31</v>
      </c>
      <c r="G225" s="6"/>
      <c r="H225" s="5">
        <v>121.0</v>
      </c>
      <c r="I225" s="7">
        <v>8.419</v>
      </c>
      <c r="J225" s="2" t="s">
        <v>1055</v>
      </c>
      <c r="K225" s="2" t="s">
        <v>1446</v>
      </c>
      <c r="L225" s="8" t="s">
        <v>1447</v>
      </c>
      <c r="M225" s="9">
        <v>179.0</v>
      </c>
      <c r="N225" s="2" t="s">
        <v>1448</v>
      </c>
      <c r="O225" s="2" t="s">
        <v>56</v>
      </c>
      <c r="P225" s="11">
        <v>4.0</v>
      </c>
      <c r="Q225" s="3"/>
      <c r="R225" s="8" t="s">
        <v>1449</v>
      </c>
      <c r="S225" s="2" t="s">
        <v>28</v>
      </c>
    </row>
    <row r="226" ht="67.5" customHeight="1">
      <c r="A226" s="2" t="s">
        <v>1450</v>
      </c>
      <c r="B226" s="3" t="str">
        <f>IMAGE("https://image.tmdb.org/t/p/w342/6fSkhv35nPSw9hwPVCMINQFG1WD.jpg")</f>
        <v/>
      </c>
      <c r="C226" s="2" t="s">
        <v>1451</v>
      </c>
      <c r="D226" s="4">
        <v>35573.0</v>
      </c>
      <c r="E226" s="5">
        <v>1997.0</v>
      </c>
      <c r="F226" s="2" t="s">
        <v>31</v>
      </c>
      <c r="G226" s="6"/>
      <c r="H226" s="5">
        <v>330.0</v>
      </c>
      <c r="I226" s="7">
        <v>6.6</v>
      </c>
      <c r="J226" s="2" t="s">
        <v>1452</v>
      </c>
      <c r="K226" s="2" t="s">
        <v>1453</v>
      </c>
      <c r="L226" s="8" t="s">
        <v>1454</v>
      </c>
      <c r="M226" s="9">
        <v>129.0</v>
      </c>
      <c r="N226" s="2" t="s">
        <v>1455</v>
      </c>
      <c r="O226" s="2" t="s">
        <v>56</v>
      </c>
      <c r="P226" s="11">
        <v>5.0</v>
      </c>
      <c r="Q226" s="3"/>
      <c r="R226" s="8" t="s">
        <v>1456</v>
      </c>
      <c r="S226" s="2" t="s">
        <v>28</v>
      </c>
    </row>
    <row r="227" ht="67.5" customHeight="1">
      <c r="A227" s="2" t="s">
        <v>1457</v>
      </c>
      <c r="B227" s="3" t="str">
        <f>IMAGE("https://image.tmdb.org/t/p/w342/d9nBoowhjiiYc4FBNtQkPY7c11H.jpg")</f>
        <v/>
      </c>
      <c r="C227" s="2" t="s">
        <v>1458</v>
      </c>
      <c r="D227" s="4">
        <v>44923.0</v>
      </c>
      <c r="E227" s="5">
        <v>2022.0</v>
      </c>
      <c r="F227" s="2" t="s">
        <v>21</v>
      </c>
      <c r="G227" s="6"/>
      <c r="H227" s="5">
        <v>536554.0</v>
      </c>
      <c r="I227" s="7">
        <v>7.023</v>
      </c>
      <c r="J227" s="2" t="s">
        <v>1459</v>
      </c>
      <c r="K227" s="2" t="s">
        <v>1460</v>
      </c>
      <c r="L227" s="8" t="s">
        <v>1461</v>
      </c>
      <c r="M227" s="9">
        <v>102.0</v>
      </c>
      <c r="N227" s="2" t="s">
        <v>1462</v>
      </c>
      <c r="O227" s="2" t="s">
        <v>56</v>
      </c>
      <c r="P227" s="11">
        <v>4.0</v>
      </c>
      <c r="Q227" s="3"/>
      <c r="R227" s="8" t="s">
        <v>1463</v>
      </c>
      <c r="S227" s="2" t="s">
        <v>28</v>
      </c>
    </row>
    <row r="228" ht="67.5" customHeight="1">
      <c r="A228" s="2" t="s">
        <v>1464</v>
      </c>
      <c r="B228" s="3" t="str">
        <f>IMAGE("https://image.tmdb.org/t/p/w342/vloNTScJ3w7jwNwtNGoG8DbTThv.jpg")</f>
        <v/>
      </c>
      <c r="C228" s="2" t="s">
        <v>1465</v>
      </c>
      <c r="D228" s="4">
        <v>43754.0</v>
      </c>
      <c r="E228" s="5">
        <v>2019.0</v>
      </c>
      <c r="F228" s="2" t="s">
        <v>21</v>
      </c>
      <c r="G228" s="6"/>
      <c r="H228" s="5">
        <v>420809.0</v>
      </c>
      <c r="I228" s="7">
        <v>7.296</v>
      </c>
      <c r="J228" s="2" t="s">
        <v>1466</v>
      </c>
      <c r="K228" s="2" t="s">
        <v>1467</v>
      </c>
      <c r="L228" s="8" t="s">
        <v>1468</v>
      </c>
      <c r="M228" s="9">
        <v>119.0</v>
      </c>
      <c r="N228" s="2" t="s">
        <v>1469</v>
      </c>
      <c r="O228" s="2" t="s">
        <v>26</v>
      </c>
      <c r="P228" s="10"/>
      <c r="Q228" s="3"/>
      <c r="R228" s="8" t="s">
        <v>1470</v>
      </c>
      <c r="S228" s="2" t="s">
        <v>28</v>
      </c>
    </row>
    <row r="229" ht="67.5" customHeight="1">
      <c r="A229" s="2" t="s">
        <v>1471</v>
      </c>
      <c r="B229" s="3" t="str">
        <f>IMAGE("https://image.tmdb.org/t/p/w342/dGv2BWjzwAz6LB8a8JeRIZL8hSz.jpg")</f>
        <v/>
      </c>
      <c r="C229" s="2" t="s">
        <v>1472</v>
      </c>
      <c r="D229" s="4">
        <v>44440.0</v>
      </c>
      <c r="E229" s="5">
        <v>2021.0</v>
      </c>
      <c r="F229" s="2" t="s">
        <v>21</v>
      </c>
      <c r="G229" s="6"/>
      <c r="H229" s="5">
        <v>619778.0</v>
      </c>
      <c r="I229" s="7">
        <v>6.7</v>
      </c>
      <c r="J229" s="2" t="s">
        <v>73</v>
      </c>
      <c r="K229" s="2" t="s">
        <v>1473</v>
      </c>
      <c r="L229" s="8" t="s">
        <v>1474</v>
      </c>
      <c r="M229" s="9">
        <v>111.0</v>
      </c>
      <c r="N229" s="2" t="s">
        <v>1475</v>
      </c>
      <c r="O229" s="2" t="s">
        <v>56</v>
      </c>
      <c r="P229" s="11">
        <v>5.0</v>
      </c>
      <c r="Q229" s="3"/>
      <c r="R229" s="8" t="s">
        <v>1476</v>
      </c>
      <c r="S229" s="2" t="s">
        <v>28</v>
      </c>
    </row>
    <row r="230" ht="67.5" customHeight="1">
      <c r="A230" s="2" t="s">
        <v>1477</v>
      </c>
      <c r="B230" s="3" t="str">
        <f>IMAGE("https://image.tmdb.org/t/p/w342/sT5ITTlTcnPOeFzHEu5j0hTZUvD.jpg")</f>
        <v/>
      </c>
      <c r="C230" s="2" t="s">
        <v>1478</v>
      </c>
      <c r="D230" s="4">
        <v>39611.0</v>
      </c>
      <c r="E230" s="5">
        <v>2008.0</v>
      </c>
      <c r="F230" s="2" t="s">
        <v>21</v>
      </c>
      <c r="G230" s="6"/>
      <c r="H230" s="5">
        <v>9539.0</v>
      </c>
      <c r="I230" s="7">
        <v>7.304</v>
      </c>
      <c r="J230" s="2" t="s">
        <v>1479</v>
      </c>
      <c r="K230" s="2" t="s">
        <v>1480</v>
      </c>
      <c r="L230" s="8" t="s">
        <v>1481</v>
      </c>
      <c r="M230" s="9">
        <v>99.0</v>
      </c>
      <c r="N230" s="2" t="s">
        <v>1482</v>
      </c>
      <c r="O230" s="2" t="s">
        <v>56</v>
      </c>
      <c r="P230" s="11">
        <v>4.0</v>
      </c>
      <c r="Q230" s="3"/>
      <c r="R230" s="8" t="s">
        <v>1483</v>
      </c>
      <c r="S230" s="2" t="s">
        <v>28</v>
      </c>
    </row>
    <row r="231" ht="67.5" customHeight="1">
      <c r="A231" s="2" t="s">
        <v>1484</v>
      </c>
      <c r="B231" s="3" t="str">
        <f>IMAGE("https://image.tmdb.org/t/p/w342/aOIuZAjPaRIE6CMzbazvcHuHXDc.jpg")</f>
        <v/>
      </c>
      <c r="C231" s="2" t="s">
        <v>1485</v>
      </c>
      <c r="D231" s="4">
        <v>36250.0</v>
      </c>
      <c r="E231" s="5">
        <v>1999.0</v>
      </c>
      <c r="F231" s="2" t="s">
        <v>21</v>
      </c>
      <c r="G231" s="6"/>
      <c r="H231" s="5">
        <v>603.0</v>
      </c>
      <c r="I231" s="7">
        <v>8.246</v>
      </c>
      <c r="J231" s="2" t="s">
        <v>1486</v>
      </c>
      <c r="K231" s="2" t="s">
        <v>1487</v>
      </c>
      <c r="L231" s="8" t="s">
        <v>1488</v>
      </c>
      <c r="M231" s="9">
        <v>136.0</v>
      </c>
      <c r="N231" s="2" t="s">
        <v>1489</v>
      </c>
      <c r="O231" s="2" t="s">
        <v>26</v>
      </c>
      <c r="P231" s="10"/>
      <c r="Q231" s="3"/>
      <c r="R231" s="8" t="s">
        <v>1490</v>
      </c>
      <c r="S231" s="2" t="s">
        <v>28</v>
      </c>
    </row>
    <row r="232" ht="67.5" customHeight="1">
      <c r="A232" s="2" t="s">
        <v>1491</v>
      </c>
      <c r="B232" s="3" t="str">
        <f>IMAGE("https://image.tmdb.org/t/p/w342/aA5qHS0FbSXO8PxcxUIHbDrJyuh.jpg")</f>
        <v/>
      </c>
      <c r="C232" s="2" t="s">
        <v>1492</v>
      </c>
      <c r="D232" s="4">
        <v>37756.0</v>
      </c>
      <c r="E232" s="5">
        <v>2003.0</v>
      </c>
      <c r="F232" s="2" t="s">
        <v>21</v>
      </c>
      <c r="G232" s="6"/>
      <c r="H232" s="5">
        <v>604.0</v>
      </c>
      <c r="I232" s="7">
        <v>7.076</v>
      </c>
      <c r="J232" s="2" t="s">
        <v>1493</v>
      </c>
      <c r="K232" s="2" t="s">
        <v>1494</v>
      </c>
      <c r="L232" s="8" t="s">
        <v>1495</v>
      </c>
      <c r="M232" s="9">
        <v>138.0</v>
      </c>
      <c r="N232" s="2" t="s">
        <v>1496</v>
      </c>
      <c r="O232" s="2" t="s">
        <v>26</v>
      </c>
      <c r="P232" s="10"/>
      <c r="Q232" s="3"/>
      <c r="R232" s="8" t="s">
        <v>1497</v>
      </c>
      <c r="S232" s="2" t="s">
        <v>28</v>
      </c>
    </row>
    <row r="233" ht="67.5" customHeight="1">
      <c r="A233" s="2" t="s">
        <v>1498</v>
      </c>
      <c r="B233" s="3" t="str">
        <f>IMAGE("https://image.tmdb.org/t/p/w342/8c4a8kE7PizaGQQnditMmI1xbRp.jpg")</f>
        <v/>
      </c>
      <c r="C233" s="2" t="s">
        <v>1499</v>
      </c>
      <c r="D233" s="4">
        <v>44546.0</v>
      </c>
      <c r="E233" s="5">
        <v>2021.0</v>
      </c>
      <c r="F233" s="2" t="s">
        <v>21</v>
      </c>
      <c r="G233" s="6"/>
      <c r="H233" s="5">
        <v>624860.0</v>
      </c>
      <c r="I233" s="7">
        <v>6.333</v>
      </c>
      <c r="J233" s="2" t="s">
        <v>1500</v>
      </c>
      <c r="K233" s="2" t="s">
        <v>1501</v>
      </c>
      <c r="L233" s="8" t="s">
        <v>1502</v>
      </c>
      <c r="M233" s="9">
        <v>148.0</v>
      </c>
      <c r="N233" s="2" t="s">
        <v>1503</v>
      </c>
      <c r="O233" s="2" t="s">
        <v>26</v>
      </c>
      <c r="P233" s="10"/>
      <c r="Q233" s="3"/>
      <c r="R233" s="8" t="s">
        <v>1504</v>
      </c>
      <c r="S233" s="2" t="s">
        <v>28</v>
      </c>
    </row>
    <row r="234" ht="67.5" customHeight="1">
      <c r="A234" s="2" t="s">
        <v>1505</v>
      </c>
      <c r="B234" s="3" t="str">
        <f>IMAGE("https://image.tmdb.org/t/p/w342/bkkS61w94ZVMNVd8KEyyJl2tnY5.jpg")</f>
        <v/>
      </c>
      <c r="C234" s="2" t="s">
        <v>1506</v>
      </c>
      <c r="D234" s="4">
        <v>37930.0</v>
      </c>
      <c r="E234" s="5">
        <v>2003.0</v>
      </c>
      <c r="F234" s="2" t="s">
        <v>21</v>
      </c>
      <c r="G234" s="6"/>
      <c r="H234" s="5">
        <v>605.0</v>
      </c>
      <c r="I234" s="7">
        <v>6.753</v>
      </c>
      <c r="J234" s="2" t="s">
        <v>1493</v>
      </c>
      <c r="K234" s="2" t="s">
        <v>1507</v>
      </c>
      <c r="L234" s="8" t="s">
        <v>1508</v>
      </c>
      <c r="M234" s="9">
        <v>129.0</v>
      </c>
      <c r="N234" s="2" t="s">
        <v>1509</v>
      </c>
      <c r="O234" s="2" t="s">
        <v>26</v>
      </c>
      <c r="P234" s="10"/>
      <c r="Q234" s="3"/>
      <c r="R234" s="8" t="s">
        <v>1510</v>
      </c>
      <c r="S234" s="2" t="s">
        <v>28</v>
      </c>
    </row>
    <row r="235" ht="67.5" customHeight="1">
      <c r="A235" s="2" t="s">
        <v>1511</v>
      </c>
      <c r="B235" s="3" t="str">
        <f>IMAGE("https://image.tmdb.org/t/p/w342/ArvoFK6nlouZRxYmtIOUzKIrg90.jpg")</f>
        <v/>
      </c>
      <c r="C235" s="2" t="s">
        <v>1512</v>
      </c>
      <c r="D235" s="4">
        <v>45477.0</v>
      </c>
      <c r="E235" s="5">
        <v>2024.0</v>
      </c>
      <c r="F235" s="2" t="s">
        <v>21</v>
      </c>
      <c r="G235" s="6"/>
      <c r="H235" s="5">
        <v>1023922.0</v>
      </c>
      <c r="I235" s="7">
        <v>6.297</v>
      </c>
      <c r="J235" s="2" t="s">
        <v>39</v>
      </c>
      <c r="K235" s="2" t="s">
        <v>1513</v>
      </c>
      <c r="L235" s="8" t="s">
        <v>1514</v>
      </c>
      <c r="M235" s="9">
        <v>103.0</v>
      </c>
      <c r="N235" s="2" t="s">
        <v>1515</v>
      </c>
      <c r="O235" s="2" t="s">
        <v>26</v>
      </c>
      <c r="P235" s="10"/>
      <c r="Q235" s="3"/>
      <c r="R235" s="8" t="s">
        <v>1516</v>
      </c>
      <c r="S235" s="2" t="s">
        <v>28</v>
      </c>
    </row>
    <row r="236" ht="67.5" customHeight="1">
      <c r="A236" s="2" t="s">
        <v>1517</v>
      </c>
      <c r="B236" s="3" t="str">
        <f>IMAGE("https://image.tmdb.org/t/p/w342/DWQOjAPvM8Kk1Qp3Xq0zae0Z6w.jpg")</f>
        <v/>
      </c>
      <c r="C236" s="2" t="s">
        <v>1518</v>
      </c>
      <c r="D236" s="4">
        <v>39471.0</v>
      </c>
      <c r="E236" s="5">
        <v>2008.0</v>
      </c>
      <c r="F236" s="2" t="s">
        <v>21</v>
      </c>
      <c r="G236" s="6"/>
      <c r="H236" s="5">
        <v>7278.0</v>
      </c>
      <c r="I236" s="7">
        <v>4.094</v>
      </c>
      <c r="J236" s="2" t="s">
        <v>1519</v>
      </c>
      <c r="K236" s="2" t="s">
        <v>1520</v>
      </c>
      <c r="L236" s="8" t="s">
        <v>1521</v>
      </c>
      <c r="M236" s="9">
        <v>84.0</v>
      </c>
      <c r="N236" s="2" t="s">
        <v>1522</v>
      </c>
      <c r="O236" s="2" t="s">
        <v>56</v>
      </c>
      <c r="P236" s="11">
        <v>2.0</v>
      </c>
      <c r="Q236" s="3"/>
      <c r="R236" s="8" t="s">
        <v>1523</v>
      </c>
      <c r="S236" s="2" t="s">
        <v>28</v>
      </c>
    </row>
    <row r="237" ht="67.5" customHeight="1">
      <c r="A237" s="2" t="s">
        <v>1524</v>
      </c>
      <c r="B237" s="3" t="str">
        <f>IMAGE("https://image.tmdb.org/t/p/w342/jcgUjx1QcupGzjntTVlnQ15lHqy.jpg")</f>
        <v/>
      </c>
      <c r="C237" s="2" t="s">
        <v>1525</v>
      </c>
      <c r="D237" s="4">
        <v>37736.0</v>
      </c>
      <c r="E237" s="5">
        <v>2003.0</v>
      </c>
      <c r="F237" s="2" t="s">
        <v>21</v>
      </c>
      <c r="G237" s="6"/>
      <c r="H237" s="5">
        <v>11423.0</v>
      </c>
      <c r="I237" s="7">
        <v>8.058</v>
      </c>
      <c r="J237" s="2" t="s">
        <v>1526</v>
      </c>
      <c r="K237" s="2" t="s">
        <v>1527</v>
      </c>
      <c r="L237" s="8" t="s">
        <v>1528</v>
      </c>
      <c r="M237" s="9">
        <v>131.0</v>
      </c>
      <c r="N237" s="2" t="s">
        <v>1529</v>
      </c>
      <c r="O237" s="2" t="s">
        <v>26</v>
      </c>
      <c r="P237" s="10"/>
      <c r="Q237" s="3"/>
      <c r="R237" s="8" t="s">
        <v>1530</v>
      </c>
      <c r="S237" s="2" t="s">
        <v>28</v>
      </c>
    </row>
    <row r="238" ht="67.5" customHeight="1">
      <c r="A238" s="2" t="s">
        <v>1531</v>
      </c>
      <c r="B238" s="3" t="str">
        <f>IMAGE("https://image.tmdb.org/t/p/w342/x5YbfyUA8huK0shr008xwzNVJ5Y.jpg")</f>
        <v/>
      </c>
      <c r="C238" s="2" t="s">
        <v>1532</v>
      </c>
      <c r="D238" s="4">
        <v>39667.0</v>
      </c>
      <c r="E238" s="5">
        <v>2008.0</v>
      </c>
      <c r="F238" s="2" t="s">
        <v>21</v>
      </c>
      <c r="G238" s="6"/>
      <c r="H238" s="5">
        <v>10185.0</v>
      </c>
      <c r="I238" s="7">
        <v>6.183</v>
      </c>
      <c r="J238" s="2" t="s">
        <v>1533</v>
      </c>
      <c r="K238" s="2" t="s">
        <v>1534</v>
      </c>
      <c r="L238" s="8" t="s">
        <v>1535</v>
      </c>
      <c r="M238" s="9">
        <v>103.0</v>
      </c>
      <c r="N238" s="2" t="s">
        <v>1536</v>
      </c>
      <c r="O238" s="2" t="s">
        <v>56</v>
      </c>
      <c r="P238" s="11">
        <v>4.0</v>
      </c>
      <c r="Q238" s="3"/>
      <c r="R238" s="8" t="s">
        <v>1537</v>
      </c>
      <c r="S238" s="2" t="s">
        <v>28</v>
      </c>
    </row>
    <row r="239" ht="67.5" customHeight="1">
      <c r="A239" s="2" t="s">
        <v>1538</v>
      </c>
      <c r="B239" s="3" t="str">
        <f>IMAGE("https://image.tmdb.org/t/p/w342/t04hiJUR5EiUjobsYdvQNgJkxbI.jpg")</f>
        <v/>
      </c>
      <c r="C239" s="2" t="s">
        <v>1539</v>
      </c>
      <c r="D239" s="4">
        <v>39745.0</v>
      </c>
      <c r="E239" s="5">
        <v>2008.0</v>
      </c>
      <c r="F239" s="2" t="s">
        <v>21</v>
      </c>
      <c r="G239" s="6"/>
      <c r="H239" s="5">
        <v>14686.0</v>
      </c>
      <c r="I239" s="7">
        <v>5.0</v>
      </c>
      <c r="J239" s="2" t="s">
        <v>1540</v>
      </c>
      <c r="K239" s="2" t="s">
        <v>1541</v>
      </c>
      <c r="L239" s="8" t="s">
        <v>1542</v>
      </c>
      <c r="M239" s="9">
        <v>82.0</v>
      </c>
      <c r="N239" s="2" t="s">
        <v>1543</v>
      </c>
      <c r="O239" s="2" t="s">
        <v>56</v>
      </c>
      <c r="P239" s="11">
        <v>2.0</v>
      </c>
      <c r="Q239" s="3"/>
      <c r="R239" s="8" t="s">
        <v>1544</v>
      </c>
      <c r="S239" s="2" t="s">
        <v>28</v>
      </c>
    </row>
    <row r="240" ht="67.5" customHeight="1">
      <c r="A240" s="2" t="s">
        <v>1545</v>
      </c>
      <c r="B240" s="3" t="str">
        <f>IMAGE("https://image.tmdb.org/t/p/w342/n9SicwnoNGWBwE75le27sUhCLMm.jpg")</f>
        <v/>
      </c>
      <c r="C240" s="2" t="s">
        <v>1546</v>
      </c>
      <c r="D240" s="4">
        <v>41781.0</v>
      </c>
      <c r="E240" s="5">
        <v>2014.0</v>
      </c>
      <c r="F240" s="2" t="s">
        <v>21</v>
      </c>
      <c r="G240" s="6"/>
      <c r="H240" s="5">
        <v>188161.0</v>
      </c>
      <c r="I240" s="7">
        <v>6.1</v>
      </c>
      <c r="J240" s="2" t="s">
        <v>1547</v>
      </c>
      <c r="K240" s="2" t="s">
        <v>1548</v>
      </c>
      <c r="L240" s="8" t="s">
        <v>1549</v>
      </c>
      <c r="M240" s="9">
        <v>116.0</v>
      </c>
      <c r="N240" s="2" t="s">
        <v>1550</v>
      </c>
      <c r="O240" s="2" t="s">
        <v>56</v>
      </c>
      <c r="P240" s="11">
        <v>1.0</v>
      </c>
      <c r="Q240" s="3"/>
      <c r="R240" s="8" t="s">
        <v>1551</v>
      </c>
      <c r="S240" s="2" t="s">
        <v>28</v>
      </c>
    </row>
    <row r="241" ht="67.5" customHeight="1">
      <c r="A241" s="2" t="s">
        <v>1552</v>
      </c>
      <c r="B241" s="3" t="str">
        <f>IMAGE("https://image.tmdb.org/t/p/w342/l5uxY5m5OInWpcExIpKG6AR3rgL.jpg")</f>
        <v/>
      </c>
      <c r="C241" s="2" t="s">
        <v>1553</v>
      </c>
      <c r="D241" s="4">
        <v>35207.0</v>
      </c>
      <c r="E241" s="5">
        <v>1996.0</v>
      </c>
      <c r="F241" s="2" t="s">
        <v>21</v>
      </c>
      <c r="G241" s="6"/>
      <c r="H241" s="5">
        <v>954.0</v>
      </c>
      <c r="I241" s="7">
        <v>7.025</v>
      </c>
      <c r="J241" s="2" t="s">
        <v>1554</v>
      </c>
      <c r="K241" s="2" t="s">
        <v>1555</v>
      </c>
      <c r="L241" s="8" t="s">
        <v>1556</v>
      </c>
      <c r="M241" s="9">
        <v>111.0</v>
      </c>
      <c r="N241" s="2" t="s">
        <v>1557</v>
      </c>
      <c r="O241" s="2" t="s">
        <v>26</v>
      </c>
      <c r="P241" s="10"/>
      <c r="Q241" s="3"/>
      <c r="R241" s="8" t="s">
        <v>1558</v>
      </c>
      <c r="S241" s="2" t="s">
        <v>28</v>
      </c>
    </row>
    <row r="242" ht="67.5" customHeight="1">
      <c r="A242" s="2" t="s">
        <v>1559</v>
      </c>
      <c r="B242" s="3" t="str">
        <f>IMAGE("https://image.tmdb.org/t/p/w342/hfnrual76gPeNFduhD4xzHWpfTw.jpg")</f>
        <v/>
      </c>
      <c r="C242" s="2" t="s">
        <v>1560</v>
      </c>
      <c r="D242" s="4">
        <v>36670.0</v>
      </c>
      <c r="E242" s="5">
        <v>2000.0</v>
      </c>
      <c r="F242" s="2" t="s">
        <v>21</v>
      </c>
      <c r="G242" s="6"/>
      <c r="H242" s="5">
        <v>955.0</v>
      </c>
      <c r="I242" s="7">
        <v>6.143</v>
      </c>
      <c r="J242" s="2" t="s">
        <v>1554</v>
      </c>
      <c r="K242" s="2" t="s">
        <v>1561</v>
      </c>
      <c r="L242" s="8" t="s">
        <v>1562</v>
      </c>
      <c r="M242" s="9">
        <v>123.0</v>
      </c>
      <c r="N242" s="2" t="s">
        <v>1563</v>
      </c>
      <c r="O242" s="2" t="s">
        <v>26</v>
      </c>
      <c r="P242" s="10"/>
      <c r="Q242" s="3"/>
      <c r="R242" s="8" t="s">
        <v>1564</v>
      </c>
      <c r="S242" s="2" t="s">
        <v>28</v>
      </c>
    </row>
    <row r="243" ht="67.5" customHeight="1">
      <c r="A243" s="2" t="s">
        <v>1565</v>
      </c>
      <c r="B243" s="3" t="str">
        <f>IMAGE("https://image.tmdb.org/t/p/w342/1CvJ6diBACKPVGOpcWuY4XPQdqX.jpg")</f>
        <v/>
      </c>
      <c r="C243" s="2" t="s">
        <v>1566</v>
      </c>
      <c r="D243" s="4">
        <v>39407.0</v>
      </c>
      <c r="E243" s="5">
        <v>2007.0</v>
      </c>
      <c r="F243" s="2" t="s">
        <v>21</v>
      </c>
      <c r="G243" s="6"/>
      <c r="H243" s="5">
        <v>5876.0</v>
      </c>
      <c r="I243" s="7">
        <v>6.944</v>
      </c>
      <c r="J243" s="2" t="s">
        <v>402</v>
      </c>
      <c r="K243" s="2" t="s">
        <v>1567</v>
      </c>
      <c r="L243" s="8" t="s">
        <v>1568</v>
      </c>
      <c r="M243" s="9">
        <v>126.0</v>
      </c>
      <c r="N243" s="2" t="s">
        <v>1569</v>
      </c>
      <c r="O243" s="2" t="s">
        <v>56</v>
      </c>
      <c r="P243" s="11">
        <v>4.0</v>
      </c>
      <c r="Q243" s="3"/>
      <c r="R243" s="8" t="s">
        <v>1570</v>
      </c>
      <c r="S243" s="2" t="s">
        <v>28</v>
      </c>
    </row>
    <row r="244" ht="67.5" customHeight="1">
      <c r="A244" s="2" t="s">
        <v>1571</v>
      </c>
      <c r="B244" s="3" t="str">
        <f>IMAGE("https://image.tmdb.org/t/p/w342/6CuzBs2Lb8At7qQr64mLXg2RYRb.jpg")</f>
        <v/>
      </c>
      <c r="C244" s="2" t="s">
        <v>1572</v>
      </c>
      <c r="D244" s="4">
        <v>41261.0</v>
      </c>
      <c r="E244" s="5">
        <v>2012.0</v>
      </c>
      <c r="F244" s="2" t="s">
        <v>21</v>
      </c>
      <c r="G244" s="6"/>
      <c r="H244" s="5">
        <v>82695.0</v>
      </c>
      <c r="I244" s="7">
        <v>7.305</v>
      </c>
      <c r="J244" s="2" t="s">
        <v>1573</v>
      </c>
      <c r="K244" s="2" t="s">
        <v>1574</v>
      </c>
      <c r="L244" s="8" t="s">
        <v>1575</v>
      </c>
      <c r="M244" s="9">
        <v>158.0</v>
      </c>
      <c r="N244" s="2" t="s">
        <v>1576</v>
      </c>
      <c r="O244" s="2" t="s">
        <v>26</v>
      </c>
      <c r="P244" s="10"/>
      <c r="Q244" s="3"/>
      <c r="R244" s="8" t="s">
        <v>1577</v>
      </c>
      <c r="S244" s="2" t="s">
        <v>28</v>
      </c>
    </row>
    <row r="245" ht="67.5" customHeight="1">
      <c r="A245" s="2" t="s">
        <v>1578</v>
      </c>
      <c r="B245" s="3" t="str">
        <f>IMAGE("https://image.tmdb.org/t/p/w342/fjny9chXPx69ln1LMJxbwi5yHMt.jpg")</f>
        <v/>
      </c>
      <c r="C245" s="2" t="s">
        <v>1579</v>
      </c>
      <c r="D245" s="4">
        <v>42991.0</v>
      </c>
      <c r="E245" s="5">
        <v>2017.0</v>
      </c>
      <c r="F245" s="2" t="s">
        <v>31</v>
      </c>
      <c r="G245" s="6"/>
      <c r="H245" s="5">
        <v>381283.0</v>
      </c>
      <c r="I245" s="7">
        <v>6.96</v>
      </c>
      <c r="J245" s="2" t="s">
        <v>184</v>
      </c>
      <c r="K245" s="2" t="s">
        <v>1580</v>
      </c>
      <c r="L245" s="8" t="s">
        <v>1581</v>
      </c>
      <c r="M245" s="9">
        <v>121.0</v>
      </c>
      <c r="N245" s="2" t="s">
        <v>1582</v>
      </c>
      <c r="O245" s="2" t="s">
        <v>56</v>
      </c>
      <c r="P245" s="11">
        <v>5.0</v>
      </c>
      <c r="Q245" s="3"/>
      <c r="R245" s="8" t="s">
        <v>1583</v>
      </c>
      <c r="S245" s="2" t="s">
        <v>28</v>
      </c>
    </row>
    <row r="246" ht="67.5" customHeight="1">
      <c r="A246" s="2" t="s">
        <v>1584</v>
      </c>
      <c r="B246" s="3" t="str">
        <f>IMAGE("https://image.tmdb.org/t/p/w342/uYa06GxHsCsELx9vOQ11vsT0Aa6.jpg")</f>
        <v/>
      </c>
      <c r="C246" s="2" t="s">
        <v>1585</v>
      </c>
      <c r="D246" s="4">
        <v>41298.0</v>
      </c>
      <c r="E246" s="5">
        <v>2013.0</v>
      </c>
      <c r="F246" s="2" t="s">
        <v>21</v>
      </c>
      <c r="G246" s="6"/>
      <c r="H246" s="5">
        <v>87818.0</v>
      </c>
      <c r="I246" s="7">
        <v>4.655</v>
      </c>
      <c r="J246" s="2" t="s">
        <v>146</v>
      </c>
      <c r="K246" s="2" t="s">
        <v>1586</v>
      </c>
      <c r="L246" s="8" t="s">
        <v>1587</v>
      </c>
      <c r="M246" s="9">
        <v>98.0</v>
      </c>
      <c r="N246" s="2" t="s">
        <v>1588</v>
      </c>
      <c r="O246" s="2" t="s">
        <v>56</v>
      </c>
      <c r="P246" s="11">
        <v>3.0</v>
      </c>
      <c r="Q246" s="3"/>
      <c r="R246" s="8" t="s">
        <v>1589</v>
      </c>
      <c r="S246" s="2" t="s">
        <v>28</v>
      </c>
    </row>
    <row r="247" ht="67.5" customHeight="1">
      <c r="A247" s="2" t="s">
        <v>1590</v>
      </c>
      <c r="B247" s="3" t="str">
        <f>IMAGE("https://image.tmdb.org/t/p/w342/x7A59t6ySylr1L7aubOQEA480vM.jpg")</f>
        <v/>
      </c>
      <c r="C247" s="2" t="s">
        <v>1591</v>
      </c>
      <c r="D247" s="4">
        <v>37048.0</v>
      </c>
      <c r="E247" s="5">
        <v>2001.0</v>
      </c>
      <c r="F247" s="2" t="s">
        <v>31</v>
      </c>
      <c r="G247" s="6"/>
      <c r="H247" s="5">
        <v>1018.0</v>
      </c>
      <c r="I247" s="7">
        <v>7.803</v>
      </c>
      <c r="J247" s="2" t="s">
        <v>562</v>
      </c>
      <c r="K247" s="2" t="s">
        <v>1592</v>
      </c>
      <c r="L247" s="8" t="s">
        <v>1593</v>
      </c>
      <c r="M247" s="9">
        <v>147.0</v>
      </c>
      <c r="N247" s="2" t="s">
        <v>1594</v>
      </c>
      <c r="O247" s="2" t="s">
        <v>26</v>
      </c>
      <c r="P247" s="10"/>
      <c r="Q247" s="3"/>
      <c r="R247" s="8" t="s">
        <v>1595</v>
      </c>
      <c r="S247" s="2" t="s">
        <v>28</v>
      </c>
    </row>
    <row r="248" ht="67.5" customHeight="1">
      <c r="A248" s="2" t="s">
        <v>1596</v>
      </c>
      <c r="B248" s="3" t="str">
        <f>IMAGE("https://image.tmdb.org/t/p/w342/pxL6E4GBOPUG6CdkO9cUQN5VMwI.jpg")</f>
        <v/>
      </c>
      <c r="C248" s="2" t="s">
        <v>1597</v>
      </c>
      <c r="D248" s="4">
        <v>38310.0</v>
      </c>
      <c r="E248" s="5">
        <v>2004.0</v>
      </c>
      <c r="F248" s="2" t="s">
        <v>21</v>
      </c>
      <c r="G248" s="6"/>
      <c r="H248" s="5">
        <v>2059.0</v>
      </c>
      <c r="I248" s="7">
        <v>6.7</v>
      </c>
      <c r="J248" s="2" t="s">
        <v>1598</v>
      </c>
      <c r="K248" s="2" t="s">
        <v>1599</v>
      </c>
      <c r="L248" s="8" t="s">
        <v>1600</v>
      </c>
      <c r="M248" s="9">
        <v>131.0</v>
      </c>
      <c r="N248" s="2" t="s">
        <v>1601</v>
      </c>
      <c r="O248" s="2" t="s">
        <v>56</v>
      </c>
      <c r="P248" s="11">
        <v>5.0</v>
      </c>
      <c r="Q248" s="3"/>
      <c r="R248" s="8" t="s">
        <v>1602</v>
      </c>
      <c r="S248" s="2" t="s">
        <v>28</v>
      </c>
    </row>
    <row r="249" ht="67.5" customHeight="1">
      <c r="A249" s="2" t="s">
        <v>1603</v>
      </c>
      <c r="B249" s="3" t="str">
        <f>IMAGE("https://image.tmdb.org/t/p/w342/fEKZwT91gxvkAoyPgpNXo8W5fu0.jpg")</f>
        <v/>
      </c>
      <c r="C249" s="2" t="s">
        <v>1604</v>
      </c>
      <c r="D249" s="4">
        <v>34572.0</v>
      </c>
      <c r="E249" s="5">
        <v>1994.0</v>
      </c>
      <c r="F249" s="2" t="s">
        <v>31</v>
      </c>
      <c r="G249" s="6"/>
      <c r="H249" s="5">
        <v>241.0</v>
      </c>
      <c r="I249" s="7">
        <v>7.053</v>
      </c>
      <c r="J249" s="2" t="s">
        <v>1605</v>
      </c>
      <c r="K249" s="2" t="s">
        <v>1606</v>
      </c>
      <c r="L249" s="8" t="s">
        <v>1607</v>
      </c>
      <c r="M249" s="9">
        <v>119.0</v>
      </c>
      <c r="N249" s="2" t="s">
        <v>1608</v>
      </c>
      <c r="O249" s="2" t="s">
        <v>56</v>
      </c>
      <c r="P249" s="11">
        <v>4.0</v>
      </c>
      <c r="Q249" s="3"/>
      <c r="R249" s="8" t="s">
        <v>1609</v>
      </c>
      <c r="S249" s="2" t="s">
        <v>28</v>
      </c>
    </row>
    <row r="250" ht="67.5" customHeight="1">
      <c r="A250" s="2" t="s">
        <v>1610</v>
      </c>
      <c r="B250" s="3" t="str">
        <f>IMAGE("https://image.tmdb.org/t/p/w342/sN1RU08CMi8xkRIibremh3AOdgw.jpg")</f>
        <v/>
      </c>
      <c r="C250" s="2" t="s">
        <v>1611</v>
      </c>
      <c r="D250" s="4">
        <v>41767.0</v>
      </c>
      <c r="E250" s="5">
        <v>2014.0</v>
      </c>
      <c r="F250" s="2" t="s">
        <v>21</v>
      </c>
      <c r="G250" s="6"/>
      <c r="H250" s="5">
        <v>195589.0</v>
      </c>
      <c r="I250" s="7">
        <v>6.182</v>
      </c>
      <c r="J250" s="2" t="s">
        <v>146</v>
      </c>
      <c r="K250" s="2" t="s">
        <v>1612</v>
      </c>
      <c r="L250" s="8" t="s">
        <v>1613</v>
      </c>
      <c r="M250" s="9">
        <v>97.0</v>
      </c>
      <c r="N250" s="2" t="s">
        <v>1614</v>
      </c>
      <c r="O250" s="2" t="s">
        <v>56</v>
      </c>
      <c r="P250" s="11">
        <v>4.0</v>
      </c>
      <c r="Q250" s="3"/>
      <c r="R250" s="8" t="s">
        <v>1615</v>
      </c>
      <c r="S250" s="2" t="s">
        <v>28</v>
      </c>
    </row>
    <row r="251" ht="67.5" customHeight="1">
      <c r="A251" s="2" t="s">
        <v>1616</v>
      </c>
      <c r="B251" s="3" t="str">
        <f>IMAGE("https://image.tmdb.org/t/p/w342/j9HrX8f7GbZQm1BrBiR40uFQZSb.jpg")</f>
        <v/>
      </c>
      <c r="C251" s="2" t="s">
        <v>1617</v>
      </c>
      <c r="D251" s="4">
        <v>41935.0</v>
      </c>
      <c r="E251" s="5">
        <v>2014.0</v>
      </c>
      <c r="F251" s="2" t="s">
        <v>21</v>
      </c>
      <c r="G251" s="6"/>
      <c r="H251" s="5">
        <v>242582.0</v>
      </c>
      <c r="I251" s="7">
        <v>7.7</v>
      </c>
      <c r="J251" s="2" t="s">
        <v>1526</v>
      </c>
      <c r="K251" s="2" t="s">
        <v>1618</v>
      </c>
      <c r="L251" s="8" t="s">
        <v>1619</v>
      </c>
      <c r="M251" s="9">
        <v>118.0</v>
      </c>
      <c r="N251" s="2" t="s">
        <v>1620</v>
      </c>
      <c r="O251" s="2" t="s">
        <v>56</v>
      </c>
      <c r="P251" s="11">
        <v>4.0</v>
      </c>
      <c r="Q251" s="3"/>
      <c r="R251" s="8" t="s">
        <v>1621</v>
      </c>
      <c r="S251" s="2" t="s">
        <v>28</v>
      </c>
    </row>
    <row r="252" ht="67.5" customHeight="1">
      <c r="A252" s="2" t="s">
        <v>1622</v>
      </c>
      <c r="B252" s="3" t="str">
        <f>IMAGE("https://image.tmdb.org/t/p/w342/wGTpGGRMZmyFCcrY2YoxVTIBlli.jpg")</f>
        <v/>
      </c>
      <c r="C252" s="2" t="s">
        <v>1623</v>
      </c>
      <c r="D252" s="4">
        <v>30995.0</v>
      </c>
      <c r="E252" s="5">
        <v>2010.0</v>
      </c>
      <c r="F252" s="2" t="s">
        <v>21</v>
      </c>
      <c r="G252" s="6"/>
      <c r="H252" s="5">
        <v>377.0</v>
      </c>
      <c r="I252" s="7">
        <v>7.345</v>
      </c>
      <c r="J252" s="2" t="s">
        <v>93</v>
      </c>
      <c r="K252" s="2" t="s">
        <v>1624</v>
      </c>
      <c r="L252" s="8" t="s">
        <v>1625</v>
      </c>
      <c r="M252" s="9">
        <v>91.0</v>
      </c>
      <c r="N252" s="2" t="s">
        <v>1626</v>
      </c>
      <c r="O252" s="2" t="s">
        <v>56</v>
      </c>
      <c r="P252" s="11">
        <v>3.0</v>
      </c>
      <c r="Q252" s="3"/>
      <c r="R252" s="8" t="s">
        <v>1627</v>
      </c>
      <c r="S252" s="2" t="s">
        <v>28</v>
      </c>
    </row>
    <row r="253" ht="67.5" customHeight="1">
      <c r="A253" s="2" t="s">
        <v>1628</v>
      </c>
      <c r="B253" s="3" t="str">
        <f>IMAGE("https://image.tmdb.org/t/p/w342/53kxYw0G3o55yJ23K7s7KMaOyAM.jpg")</f>
        <v/>
      </c>
      <c r="C253" s="2" t="s">
        <v>1629</v>
      </c>
      <c r="D253" s="4">
        <v>31352.0</v>
      </c>
      <c r="E253" s="5">
        <v>1985.0</v>
      </c>
      <c r="F253" s="2" t="s">
        <v>21</v>
      </c>
      <c r="G253" s="6"/>
      <c r="H253" s="5">
        <v>10014.0</v>
      </c>
      <c r="I253" s="7">
        <v>5.775</v>
      </c>
      <c r="J253" s="2" t="s">
        <v>93</v>
      </c>
      <c r="K253" s="2" t="s">
        <v>1630</v>
      </c>
      <c r="L253" s="8" t="s">
        <v>1631</v>
      </c>
      <c r="M253" s="9">
        <v>87.0</v>
      </c>
      <c r="N253" s="2" t="s">
        <v>1632</v>
      </c>
      <c r="O253" s="2" t="s">
        <v>26</v>
      </c>
      <c r="P253" s="10"/>
      <c r="Q253" s="3"/>
      <c r="R253" s="8" t="s">
        <v>1633</v>
      </c>
      <c r="S253" s="2" t="s">
        <v>28</v>
      </c>
    </row>
    <row r="254" ht="67.5" customHeight="1">
      <c r="A254" s="2" t="s">
        <v>1634</v>
      </c>
      <c r="B254" s="3" t="str">
        <f>IMAGE("https://image.tmdb.org/t/p/w342/qbtZewU6EGvxi8yFVzwZ31NijLX.jpg")</f>
        <v/>
      </c>
      <c r="C254" s="2" t="s">
        <v>1635</v>
      </c>
      <c r="D254" s="4">
        <v>31835.0</v>
      </c>
      <c r="E254" s="5">
        <v>1987.0</v>
      </c>
      <c r="F254" s="2" t="s">
        <v>21</v>
      </c>
      <c r="G254" s="6"/>
      <c r="H254" s="5">
        <v>10072.0</v>
      </c>
      <c r="I254" s="7">
        <v>6.71</v>
      </c>
      <c r="J254" s="2" t="s">
        <v>1540</v>
      </c>
      <c r="K254" s="2" t="s">
        <v>1636</v>
      </c>
      <c r="L254" s="8" t="s">
        <v>1637</v>
      </c>
      <c r="M254" s="9">
        <v>96.0</v>
      </c>
      <c r="N254" s="2" t="s">
        <v>1638</v>
      </c>
      <c r="O254" s="2" t="s">
        <v>26</v>
      </c>
      <c r="P254" s="10"/>
      <c r="Q254" s="3"/>
      <c r="R254" s="8" t="s">
        <v>1639</v>
      </c>
      <c r="S254" s="2" t="s">
        <v>28</v>
      </c>
    </row>
    <row r="255" ht="67.5" customHeight="1">
      <c r="A255" s="2" t="s">
        <v>1640</v>
      </c>
      <c r="B255" s="3" t="str">
        <f>IMAGE("https://image.tmdb.org/t/p/w342/boStYG7jKdoIZTduiOOsUVknD13.jpg")</f>
        <v/>
      </c>
      <c r="C255" s="2" t="s">
        <v>1641</v>
      </c>
      <c r="D255" s="4">
        <v>32374.0</v>
      </c>
      <c r="E255" s="5">
        <v>1988.0</v>
      </c>
      <c r="F255" s="2" t="s">
        <v>21</v>
      </c>
      <c r="G255" s="6"/>
      <c r="H255" s="5">
        <v>10131.0</v>
      </c>
      <c r="I255" s="7">
        <v>5.864</v>
      </c>
      <c r="J255" s="2" t="s">
        <v>39</v>
      </c>
      <c r="K255" s="2" t="s">
        <v>1642</v>
      </c>
      <c r="L255" s="8" t="s">
        <v>1643</v>
      </c>
      <c r="M255" s="9">
        <v>93.0</v>
      </c>
      <c r="N255" s="2" t="s">
        <v>1644</v>
      </c>
      <c r="O255" s="2" t="s">
        <v>26</v>
      </c>
      <c r="P255" s="10"/>
      <c r="Q255" s="3"/>
      <c r="R255" s="8" t="s">
        <v>1645</v>
      </c>
      <c r="S255" s="2" t="s">
        <v>28</v>
      </c>
    </row>
    <row r="256" ht="67.5" customHeight="1">
      <c r="A256" s="2" t="s">
        <v>1646</v>
      </c>
      <c r="B256" s="3" t="str">
        <f>IMAGE("https://image.tmdb.org/t/p/w342/kizvpgXQfrAgN8FhOd87LbKk6kO.jpg")</f>
        <v/>
      </c>
      <c r="C256" s="2" t="s">
        <v>1647</v>
      </c>
      <c r="D256" s="4">
        <v>32731.0</v>
      </c>
      <c r="E256" s="5">
        <v>1989.0</v>
      </c>
      <c r="F256" s="2" t="s">
        <v>21</v>
      </c>
      <c r="G256" s="6"/>
      <c r="H256" s="5">
        <v>10160.0</v>
      </c>
      <c r="I256" s="7">
        <v>5.41</v>
      </c>
      <c r="J256" s="2" t="s">
        <v>39</v>
      </c>
      <c r="K256" s="2" t="s">
        <v>1648</v>
      </c>
      <c r="L256" s="8" t="s">
        <v>1649</v>
      </c>
      <c r="M256" s="9">
        <v>89.0</v>
      </c>
      <c r="N256" s="2" t="s">
        <v>1650</v>
      </c>
      <c r="O256" s="2" t="s">
        <v>26</v>
      </c>
      <c r="P256" s="10"/>
      <c r="Q256" s="3"/>
      <c r="R256" s="8" t="s">
        <v>1651</v>
      </c>
      <c r="S256" s="2" t="s">
        <v>28</v>
      </c>
    </row>
    <row r="257" ht="67.5" customHeight="1">
      <c r="A257" s="2" t="s">
        <v>1652</v>
      </c>
      <c r="B257" s="3" t="str">
        <f>IMAGE("https://image.tmdb.org/t/p/w342/6d5XOczc226jECq0LIX0siKtgHR.jpg")</f>
        <v/>
      </c>
      <c r="C257" s="2" t="s">
        <v>1653</v>
      </c>
      <c r="D257" s="4">
        <v>39395.0</v>
      </c>
      <c r="E257" s="5">
        <v>2007.0</v>
      </c>
      <c r="F257" s="2" t="s">
        <v>31</v>
      </c>
      <c r="G257" s="6"/>
      <c r="H257" s="5">
        <v>6977.0</v>
      </c>
      <c r="I257" s="7">
        <v>7.95</v>
      </c>
      <c r="J257" s="2" t="s">
        <v>1654</v>
      </c>
      <c r="K257" s="2" t="s">
        <v>1655</v>
      </c>
      <c r="L257" s="8" t="s">
        <v>1656</v>
      </c>
      <c r="M257" s="9">
        <v>122.0</v>
      </c>
      <c r="N257" s="2" t="s">
        <v>1657</v>
      </c>
      <c r="O257" s="2" t="s">
        <v>26</v>
      </c>
      <c r="P257" s="10"/>
      <c r="Q257" s="3"/>
      <c r="R257" s="8" t="s">
        <v>1658</v>
      </c>
      <c r="S257" s="2" t="s">
        <v>28</v>
      </c>
    </row>
    <row r="258" ht="67.5" customHeight="1">
      <c r="A258" s="2" t="s">
        <v>1659</v>
      </c>
      <c r="B258" s="3" t="str">
        <f>IMAGE("https://image.tmdb.org/t/p/w342/9C09L1U9S13J4Ut029Qhu0oLcTQ.jpg")</f>
        <v/>
      </c>
      <c r="C258" s="2" t="s">
        <v>1660</v>
      </c>
      <c r="D258" s="4">
        <v>40564.0</v>
      </c>
      <c r="E258" s="5">
        <v>2011.0</v>
      </c>
      <c r="F258" s="2" t="s">
        <v>21</v>
      </c>
      <c r="G258" s="6"/>
      <c r="H258" s="5">
        <v>41630.0</v>
      </c>
      <c r="I258" s="7">
        <v>6.297</v>
      </c>
      <c r="J258" s="2" t="s">
        <v>60</v>
      </c>
      <c r="K258" s="2" t="s">
        <v>1661</v>
      </c>
      <c r="L258" s="8" t="s">
        <v>1662</v>
      </c>
      <c r="M258" s="9">
        <v>107.0</v>
      </c>
      <c r="N258" s="2" t="s">
        <v>1663</v>
      </c>
      <c r="O258" s="2" t="s">
        <v>26</v>
      </c>
      <c r="P258" s="10"/>
      <c r="Q258" s="3"/>
      <c r="R258" s="8" t="s">
        <v>1664</v>
      </c>
      <c r="S258" s="2" t="s">
        <v>28</v>
      </c>
    </row>
    <row r="259" ht="67.5" customHeight="1">
      <c r="A259" s="2" t="s">
        <v>1665</v>
      </c>
      <c r="B259" s="3" t="str">
        <f>IMAGE("https://image.tmdb.org/t/p/w342/AcKVlWaNVVVFQwro3nLXqPljcYA.jpg")</f>
        <v/>
      </c>
      <c r="C259" s="2" t="s">
        <v>1666</v>
      </c>
      <c r="D259" s="4">
        <v>44762.0</v>
      </c>
      <c r="E259" s="5">
        <v>2022.0</v>
      </c>
      <c r="F259" s="2" t="s">
        <v>31</v>
      </c>
      <c r="G259" s="6"/>
      <c r="H259" s="5">
        <v>762504.0</v>
      </c>
      <c r="I259" s="7">
        <v>6.8</v>
      </c>
      <c r="J259" s="2" t="s">
        <v>515</v>
      </c>
      <c r="K259" s="2" t="s">
        <v>1667</v>
      </c>
      <c r="L259" s="8" t="s">
        <v>1668</v>
      </c>
      <c r="M259" s="9">
        <v>130.0</v>
      </c>
      <c r="N259" s="2" t="s">
        <v>1669</v>
      </c>
      <c r="O259" s="2" t="s">
        <v>56</v>
      </c>
      <c r="P259" s="11">
        <v>4.0</v>
      </c>
      <c r="Q259" s="3"/>
      <c r="R259" s="8" t="s">
        <v>1670</v>
      </c>
      <c r="S259" s="2" t="s">
        <v>28</v>
      </c>
    </row>
    <row r="260" ht="67.5" customHeight="1">
      <c r="A260" s="2" t="s">
        <v>1671</v>
      </c>
      <c r="B260" s="3" t="str">
        <f>IMAGE("https://image.tmdb.org/t/p/w342/tWsNYbrqy1p1w6K9zRk0mSchztT.jpg")</f>
        <v/>
      </c>
      <c r="C260" s="2" t="s">
        <v>1672</v>
      </c>
      <c r="D260" s="4">
        <v>41423.0</v>
      </c>
      <c r="E260" s="5">
        <v>2013.0</v>
      </c>
      <c r="F260" s="2" t="s">
        <v>21</v>
      </c>
      <c r="G260" s="6"/>
      <c r="H260" s="5">
        <v>75656.0</v>
      </c>
      <c r="I260" s="7">
        <v>7.331</v>
      </c>
      <c r="J260" s="2" t="s">
        <v>1673</v>
      </c>
      <c r="K260" s="2" t="s">
        <v>1674</v>
      </c>
      <c r="L260" s="8" t="s">
        <v>1675</v>
      </c>
      <c r="M260" s="9">
        <v>116.0</v>
      </c>
      <c r="N260" s="2" t="s">
        <v>1676</v>
      </c>
      <c r="O260" s="2" t="s">
        <v>56</v>
      </c>
      <c r="P260" s="11">
        <v>5.0</v>
      </c>
      <c r="Q260" s="3"/>
      <c r="R260" s="8" t="s">
        <v>1677</v>
      </c>
      <c r="S260" s="2" t="s">
        <v>28</v>
      </c>
    </row>
    <row r="261" ht="67.5" customHeight="1">
      <c r="A261" s="2" t="s">
        <v>1678</v>
      </c>
      <c r="B261" s="3" t="str">
        <f>IMAGE("https://image.tmdb.org/t/p/w342/sFC1ElvoKGdHJIWRpNB3xWJ9lJA.jpg")</f>
        <v/>
      </c>
      <c r="C261" s="2" t="s">
        <v>1679</v>
      </c>
      <c r="D261" s="4">
        <v>43348.0</v>
      </c>
      <c r="E261" s="5">
        <v>2018.0</v>
      </c>
      <c r="F261" s="2" t="s">
        <v>21</v>
      </c>
      <c r="G261" s="6"/>
      <c r="H261" s="5">
        <v>439079.0</v>
      </c>
      <c r="I261" s="7">
        <v>5.905</v>
      </c>
      <c r="J261" s="2" t="s">
        <v>93</v>
      </c>
      <c r="K261" s="2" t="s">
        <v>1680</v>
      </c>
      <c r="L261" s="8" t="s">
        <v>1681</v>
      </c>
      <c r="M261" s="9">
        <v>96.0</v>
      </c>
      <c r="N261" s="2" t="s">
        <v>1682</v>
      </c>
      <c r="O261" s="2" t="s">
        <v>26</v>
      </c>
      <c r="P261" s="10"/>
      <c r="Q261" s="3"/>
      <c r="R261" s="8" t="s">
        <v>1683</v>
      </c>
      <c r="S261" s="2" t="s">
        <v>28</v>
      </c>
    </row>
    <row r="262" ht="67.5" customHeight="1">
      <c r="A262" s="2" t="s">
        <v>1684</v>
      </c>
      <c r="B262" s="3" t="str">
        <f>IMAGE("https://image.tmdb.org/t/p/w342/zHuouWUKlRK0SeIjzTlmtoPLrFA.jpg")</f>
        <v/>
      </c>
      <c r="C262" s="2" t="s">
        <v>1685</v>
      </c>
      <c r="D262" s="4">
        <v>39913.0</v>
      </c>
      <c r="E262" s="5">
        <v>2009.0</v>
      </c>
      <c r="F262" s="2" t="s">
        <v>21</v>
      </c>
      <c r="G262" s="6"/>
      <c r="H262" s="5">
        <v>16991.0</v>
      </c>
      <c r="I262" s="7">
        <v>5.405</v>
      </c>
      <c r="J262" s="2" t="s">
        <v>1686</v>
      </c>
      <c r="K262" s="2" t="s">
        <v>1687</v>
      </c>
      <c r="L262" s="8" t="s">
        <v>1688</v>
      </c>
      <c r="M262" s="9">
        <v>86.0</v>
      </c>
      <c r="N262" s="2" t="s">
        <v>1689</v>
      </c>
      <c r="O262" s="2" t="s">
        <v>56</v>
      </c>
      <c r="P262" s="11">
        <v>2.0</v>
      </c>
      <c r="Q262" s="3"/>
      <c r="R262" s="8" t="s">
        <v>1690</v>
      </c>
      <c r="S262" s="2" t="s">
        <v>28</v>
      </c>
    </row>
    <row r="263" ht="67.5" customHeight="1">
      <c r="A263" s="2" t="s">
        <v>1691</v>
      </c>
      <c r="B263" s="3" t="str">
        <f>IMAGE("https://image.tmdb.org/t/p/w342/yCzR1yKRLiJyTDLgY1ppazXEmdE.jpg")</f>
        <v/>
      </c>
      <c r="C263" s="2" t="s">
        <v>1692</v>
      </c>
      <c r="D263" s="4">
        <v>41732.0</v>
      </c>
      <c r="E263" s="5">
        <v>2013.0</v>
      </c>
      <c r="F263" s="2" t="s">
        <v>21</v>
      </c>
      <c r="G263" s="6"/>
      <c r="H263" s="5">
        <v>157547.0</v>
      </c>
      <c r="I263" s="7">
        <v>6.497</v>
      </c>
      <c r="J263" s="2" t="s">
        <v>93</v>
      </c>
      <c r="K263" s="2" t="s">
        <v>1693</v>
      </c>
      <c r="L263" s="8" t="s">
        <v>1694</v>
      </c>
      <c r="M263" s="9">
        <v>104.0</v>
      </c>
      <c r="N263" s="2" t="s">
        <v>1695</v>
      </c>
      <c r="O263" s="2" t="s">
        <v>56</v>
      </c>
      <c r="P263" s="11">
        <v>5.0</v>
      </c>
      <c r="Q263" s="3"/>
      <c r="R263" s="8" t="s">
        <v>1696</v>
      </c>
      <c r="S263" s="2" t="s">
        <v>28</v>
      </c>
    </row>
    <row r="264" ht="67.5" customHeight="1">
      <c r="A264" s="2" t="s">
        <v>1697</v>
      </c>
      <c r="B264" s="3" t="str">
        <f>IMAGE("https://image.tmdb.org/t/p/w342/3Z9c1tbUhP0QruRjczPHnbx3U2D.jpg")</f>
        <v/>
      </c>
      <c r="C264" s="2" t="s">
        <v>1698</v>
      </c>
      <c r="D264" s="4">
        <v>45492.0</v>
      </c>
      <c r="E264" s="5">
        <v>2024.0</v>
      </c>
      <c r="F264" s="2" t="s">
        <v>21</v>
      </c>
      <c r="G264" s="6"/>
      <c r="H264" s="5">
        <v>1216191.0</v>
      </c>
      <c r="I264" s="7">
        <v>6.644</v>
      </c>
      <c r="J264" s="2" t="s">
        <v>73</v>
      </c>
      <c r="K264" s="2" t="s">
        <v>1699</v>
      </c>
      <c r="L264" s="8" t="s">
        <v>1700</v>
      </c>
      <c r="M264" s="9">
        <v>98.0</v>
      </c>
      <c r="N264" s="2" t="s">
        <v>1701</v>
      </c>
      <c r="O264" s="2" t="s">
        <v>26</v>
      </c>
      <c r="P264" s="10"/>
      <c r="Q264" s="3"/>
      <c r="R264" s="8" t="s">
        <v>1702</v>
      </c>
      <c r="S264" s="2" t="s">
        <v>28</v>
      </c>
    </row>
    <row r="265" ht="67.5" customHeight="1">
      <c r="A265" s="2" t="s">
        <v>1703</v>
      </c>
      <c r="B265" s="3" t="str">
        <f>IMAGE("https://image.tmdb.org/t/p/w342/nYtuwNHpEoIbTgS3aFPSEwZNN6l.jpg")</f>
        <v/>
      </c>
      <c r="C265" s="2" t="s">
        <v>1704</v>
      </c>
      <c r="D265" s="4">
        <v>37673.0</v>
      </c>
      <c r="E265" s="5">
        <v>2003.0</v>
      </c>
      <c r="F265" s="2" t="s">
        <v>21</v>
      </c>
      <c r="G265" s="6"/>
      <c r="H265" s="5">
        <v>11635.0</v>
      </c>
      <c r="I265" s="7">
        <v>6.628</v>
      </c>
      <c r="J265" s="2" t="s">
        <v>146</v>
      </c>
      <c r="K265" s="2" t="s">
        <v>1705</v>
      </c>
      <c r="L265" s="8" t="s">
        <v>1706</v>
      </c>
      <c r="M265" s="9">
        <v>92.0</v>
      </c>
      <c r="N265" s="2" t="s">
        <v>1707</v>
      </c>
      <c r="O265" s="2" t="s">
        <v>56</v>
      </c>
      <c r="P265" s="11">
        <v>4.0</v>
      </c>
      <c r="Q265" s="3"/>
      <c r="R265" s="8" t="s">
        <v>1708</v>
      </c>
      <c r="S265" s="2" t="s">
        <v>28</v>
      </c>
    </row>
    <row r="266" ht="67.5" customHeight="1">
      <c r="A266" s="2" t="s">
        <v>1709</v>
      </c>
      <c r="B266" s="3" t="str">
        <f>IMAGE("https://image.tmdb.org/t/p/w342/pWDtjs568ZfOTMbURQBYuT4Qxka.jpg")</f>
        <v/>
      </c>
      <c r="C266" s="2" t="s">
        <v>1710</v>
      </c>
      <c r="D266" s="4">
        <v>37946.0</v>
      </c>
      <c r="E266" s="5">
        <v>2003.0</v>
      </c>
      <c r="F266" s="2" t="s">
        <v>21</v>
      </c>
      <c r="G266" s="6"/>
      <c r="H266" s="5">
        <v>670.0</v>
      </c>
      <c r="I266" s="7">
        <v>8.239</v>
      </c>
      <c r="J266" s="2" t="s">
        <v>1711</v>
      </c>
      <c r="K266" s="2" t="s">
        <v>1712</v>
      </c>
      <c r="L266" s="8" t="s">
        <v>1713</v>
      </c>
      <c r="M266" s="9">
        <v>120.0</v>
      </c>
      <c r="N266" s="2" t="s">
        <v>1714</v>
      </c>
      <c r="O266" s="2" t="s">
        <v>26</v>
      </c>
      <c r="P266" s="10"/>
      <c r="Q266" s="3"/>
      <c r="R266" s="8" t="s">
        <v>1715</v>
      </c>
      <c r="S266" s="2" t="s">
        <v>28</v>
      </c>
    </row>
    <row r="267" ht="67.5" customHeight="1">
      <c r="A267" s="2" t="s">
        <v>1716</v>
      </c>
      <c r="B267" s="3"/>
      <c r="C267" s="2" t="s">
        <v>1716</v>
      </c>
      <c r="D267" s="12"/>
      <c r="E267" s="3"/>
      <c r="F267" s="2" t="s">
        <v>1717</v>
      </c>
      <c r="G267" s="6"/>
      <c r="H267" s="3"/>
      <c r="I267" s="13"/>
      <c r="J267" s="3"/>
      <c r="K267" s="3"/>
      <c r="L267" s="3"/>
      <c r="M267" s="14"/>
      <c r="N267" s="3"/>
      <c r="O267" s="2" t="s">
        <v>26</v>
      </c>
      <c r="P267" s="10"/>
      <c r="Q267" s="3"/>
      <c r="R267" s="3"/>
      <c r="S267" s="2" t="s">
        <v>272</v>
      </c>
    </row>
    <row r="268" ht="67.5" customHeight="1">
      <c r="A268" s="2" t="s">
        <v>1718</v>
      </c>
      <c r="B268" s="3" t="str">
        <f>IMAGE("https://image.tmdb.org/t/p/w342/p8g1vlTvpM6nr2hMMiZ1fUlKF0D.jpg")</f>
        <v/>
      </c>
      <c r="C268" s="2" t="s">
        <v>1719</v>
      </c>
      <c r="D268" s="4">
        <v>37105.0</v>
      </c>
      <c r="E268" s="5">
        <v>2001.0</v>
      </c>
      <c r="F268" s="2" t="s">
        <v>31</v>
      </c>
      <c r="G268" s="6"/>
      <c r="H268" s="5">
        <v>1933.0</v>
      </c>
      <c r="I268" s="7">
        <v>7.616</v>
      </c>
      <c r="J268" s="2" t="s">
        <v>434</v>
      </c>
      <c r="K268" s="2" t="s">
        <v>1720</v>
      </c>
      <c r="L268" s="8" t="s">
        <v>1721</v>
      </c>
      <c r="M268" s="9">
        <v>101.0</v>
      </c>
      <c r="N268" s="2" t="s">
        <v>1722</v>
      </c>
      <c r="O268" s="2" t="s">
        <v>26</v>
      </c>
      <c r="P268" s="10"/>
      <c r="Q268" s="3"/>
      <c r="R268" s="8" t="s">
        <v>1723</v>
      </c>
      <c r="S268" s="2" t="s">
        <v>28</v>
      </c>
    </row>
    <row r="269" ht="67.5" customHeight="1">
      <c r="A269" s="2" t="s">
        <v>1724</v>
      </c>
      <c r="B269" s="3" t="str">
        <f>IMAGE("https://image.tmdb.org/t/p/w342/gwynHc2RrOFaplYMMpQRpr3TIA4.jpg")</f>
        <v/>
      </c>
      <c r="C269" s="2" t="s">
        <v>1725</v>
      </c>
      <c r="D269" s="4">
        <v>42663.0</v>
      </c>
      <c r="E269" s="5">
        <v>2016.0</v>
      </c>
      <c r="F269" s="2" t="s">
        <v>21</v>
      </c>
      <c r="G269" s="6"/>
      <c r="H269" s="5">
        <v>335796.0</v>
      </c>
      <c r="I269" s="7">
        <v>6.153</v>
      </c>
      <c r="J269" s="2" t="s">
        <v>93</v>
      </c>
      <c r="K269" s="2" t="s">
        <v>1726</v>
      </c>
      <c r="L269" s="8" t="s">
        <v>1727</v>
      </c>
      <c r="M269" s="9">
        <v>99.0</v>
      </c>
      <c r="N269" s="2" t="s">
        <v>1728</v>
      </c>
      <c r="O269" s="2" t="s">
        <v>56</v>
      </c>
      <c r="P269" s="11">
        <v>4.0</v>
      </c>
      <c r="Q269" s="3"/>
      <c r="R269" s="8" t="s">
        <v>1729</v>
      </c>
      <c r="S269" s="2" t="s">
        <v>28</v>
      </c>
    </row>
    <row r="270" ht="67.5" customHeight="1">
      <c r="A270" s="2" t="s">
        <v>1730</v>
      </c>
      <c r="B270" s="3" t="str">
        <f>IMAGE("https://image.tmdb.org/t/p/w342/2HahJCcUEduvMUTQhsqRwutpFw1.jpg")</f>
        <v/>
      </c>
      <c r="C270" s="2" t="s">
        <v>1731</v>
      </c>
      <c r="D270" s="4">
        <v>40781.0</v>
      </c>
      <c r="E270" s="5">
        <v>2011.0</v>
      </c>
      <c r="F270" s="2" t="s">
        <v>21</v>
      </c>
      <c r="G270" s="6"/>
      <c r="H270" s="5">
        <v>59968.0</v>
      </c>
      <c r="I270" s="7">
        <v>6.138</v>
      </c>
      <c r="J270" s="2" t="s">
        <v>762</v>
      </c>
      <c r="K270" s="2" t="s">
        <v>1732</v>
      </c>
      <c r="L270" s="8" t="s">
        <v>1733</v>
      </c>
      <c r="M270" s="9">
        <v>90.0</v>
      </c>
      <c r="N270" s="2" t="s">
        <v>1734</v>
      </c>
      <c r="O270" s="2" t="s">
        <v>56</v>
      </c>
      <c r="P270" s="11">
        <v>2.0</v>
      </c>
      <c r="Q270" s="3"/>
      <c r="R270" s="8" t="s">
        <v>1735</v>
      </c>
      <c r="S270" s="2" t="s">
        <v>28</v>
      </c>
    </row>
    <row r="271" ht="67.5" customHeight="1">
      <c r="A271" s="2" t="s">
        <v>1736</v>
      </c>
      <c r="B271" s="3" t="str">
        <f>IMAGE("https://image.tmdb.org/t/p/w342/tmclkEpjeo4Zu564gf3KrwIOuKw.jpg")</f>
        <v/>
      </c>
      <c r="C271" s="2" t="s">
        <v>1737</v>
      </c>
      <c r="D271" s="4">
        <v>39339.0</v>
      </c>
      <c r="E271" s="5">
        <v>2007.0</v>
      </c>
      <c r="F271" s="2" t="s">
        <v>21</v>
      </c>
      <c r="G271" s="6"/>
      <c r="H271" s="5">
        <v>23827.0</v>
      </c>
      <c r="I271" s="7">
        <v>6.048</v>
      </c>
      <c r="J271" s="2" t="s">
        <v>73</v>
      </c>
      <c r="K271" s="2" t="s">
        <v>1738</v>
      </c>
      <c r="L271" s="8" t="s">
        <v>1739</v>
      </c>
      <c r="M271" s="9">
        <v>86.0</v>
      </c>
      <c r="N271" s="2" t="s">
        <v>1740</v>
      </c>
      <c r="O271" s="2" t="s">
        <v>56</v>
      </c>
      <c r="P271" s="11">
        <v>4.0</v>
      </c>
      <c r="Q271" s="3"/>
      <c r="R271" s="8" t="s">
        <v>1741</v>
      </c>
      <c r="S271" s="2" t="s">
        <v>28</v>
      </c>
    </row>
    <row r="272" ht="67.5" customHeight="1">
      <c r="A272" s="2" t="s">
        <v>1742</v>
      </c>
      <c r="B272" s="3" t="str">
        <f>IMAGE("https://image.tmdb.org/t/p/w342/gfdrkBZAyUUXJJ2iLQe03SAYRD3.jpg")</f>
        <v/>
      </c>
      <c r="C272" s="2" t="s">
        <v>1743</v>
      </c>
      <c r="D272" s="4">
        <v>40471.0</v>
      </c>
      <c r="E272" s="5">
        <v>2010.0</v>
      </c>
      <c r="F272" s="2" t="s">
        <v>21</v>
      </c>
      <c r="G272" s="6"/>
      <c r="H272" s="5">
        <v>41436.0</v>
      </c>
      <c r="I272" s="7">
        <v>5.789</v>
      </c>
      <c r="J272" s="2" t="s">
        <v>73</v>
      </c>
      <c r="K272" s="2" t="s">
        <v>1744</v>
      </c>
      <c r="L272" s="8" t="s">
        <v>1745</v>
      </c>
      <c r="M272" s="9">
        <v>91.0</v>
      </c>
      <c r="N272" s="2" t="s">
        <v>1746</v>
      </c>
      <c r="O272" s="2" t="s">
        <v>56</v>
      </c>
      <c r="P272" s="11">
        <v>2.0</v>
      </c>
      <c r="Q272" s="3"/>
      <c r="R272" s="8" t="s">
        <v>1747</v>
      </c>
      <c r="S272" s="2" t="s">
        <v>28</v>
      </c>
    </row>
    <row r="273" ht="67.5" customHeight="1">
      <c r="A273" s="2" t="s">
        <v>1748</v>
      </c>
      <c r="B273" s="3" t="str">
        <f>IMAGE("https://image.tmdb.org/t/p/w342/9nYranPiWdNmbD5PRPPSL7VUFTS.jpg")</f>
        <v/>
      </c>
      <c r="C273" s="2" t="s">
        <v>1749</v>
      </c>
      <c r="D273" s="4">
        <v>40835.0</v>
      </c>
      <c r="E273" s="5">
        <v>2011.0</v>
      </c>
      <c r="F273" s="2" t="s">
        <v>21</v>
      </c>
      <c r="G273" s="6"/>
      <c r="H273" s="5">
        <v>72571.0</v>
      </c>
      <c r="I273" s="7">
        <v>5.914</v>
      </c>
      <c r="J273" s="2" t="s">
        <v>73</v>
      </c>
      <c r="K273" s="2" t="s">
        <v>1750</v>
      </c>
      <c r="L273" s="8" t="s">
        <v>1751</v>
      </c>
      <c r="M273" s="9">
        <v>83.0</v>
      </c>
      <c r="N273" s="2" t="s">
        <v>1752</v>
      </c>
      <c r="O273" s="2" t="s">
        <v>56</v>
      </c>
      <c r="P273" s="11">
        <v>2.0</v>
      </c>
      <c r="Q273" s="3"/>
      <c r="R273" s="8" t="s">
        <v>1753</v>
      </c>
      <c r="S273" s="2" t="s">
        <v>28</v>
      </c>
    </row>
    <row r="274" ht="67.5" customHeight="1">
      <c r="A274" s="2" t="s">
        <v>1754</v>
      </c>
      <c r="B274" s="3" t="str">
        <f>IMAGE("https://image.tmdb.org/t/p/w342/na5tAslm1kGNcft083AIXMTOsYR.jpg")</f>
        <v/>
      </c>
      <c r="C274" s="2" t="s">
        <v>1755</v>
      </c>
      <c r="D274" s="4">
        <v>41199.0</v>
      </c>
      <c r="E274" s="5">
        <v>2012.0</v>
      </c>
      <c r="F274" s="2" t="s">
        <v>21</v>
      </c>
      <c r="G274" s="6"/>
      <c r="H274" s="5">
        <v>82990.0</v>
      </c>
      <c r="I274" s="7">
        <v>5.406</v>
      </c>
      <c r="J274" s="2" t="s">
        <v>93</v>
      </c>
      <c r="K274" s="2" t="s">
        <v>1756</v>
      </c>
      <c r="L274" s="8" t="s">
        <v>1757</v>
      </c>
      <c r="M274" s="9">
        <v>87.0</v>
      </c>
      <c r="N274" s="2" t="s">
        <v>1758</v>
      </c>
      <c r="O274" s="2" t="s">
        <v>56</v>
      </c>
      <c r="P274" s="11">
        <v>2.0</v>
      </c>
      <c r="Q274" s="3"/>
      <c r="R274" s="8" t="s">
        <v>1759</v>
      </c>
      <c r="S274" s="2" t="s">
        <v>28</v>
      </c>
    </row>
    <row r="275" ht="67.5" customHeight="1">
      <c r="A275" s="2" t="s">
        <v>1760</v>
      </c>
      <c r="B275" s="3" t="str">
        <f>IMAGE("https://image.tmdb.org/t/p/w342/1YpFQ2MQKzlDoa8diLWkapdRI8t.jpg")</f>
        <v/>
      </c>
      <c r="C275" s="2" t="s">
        <v>1761</v>
      </c>
      <c r="D275" s="4">
        <v>42298.0</v>
      </c>
      <c r="E275" s="5">
        <v>2015.0</v>
      </c>
      <c r="F275" s="2" t="s">
        <v>21</v>
      </c>
      <c r="G275" s="6"/>
      <c r="H275" s="5">
        <v>146301.0</v>
      </c>
      <c r="I275" s="7">
        <v>5.307</v>
      </c>
      <c r="J275" s="2" t="s">
        <v>39</v>
      </c>
      <c r="K275" s="2" t="s">
        <v>1762</v>
      </c>
      <c r="L275" s="8" t="s">
        <v>1763</v>
      </c>
      <c r="M275" s="9">
        <v>87.0</v>
      </c>
      <c r="N275" s="2" t="s">
        <v>1764</v>
      </c>
      <c r="O275" s="2" t="s">
        <v>26</v>
      </c>
      <c r="P275" s="10"/>
      <c r="Q275" s="3"/>
      <c r="R275" s="8" t="s">
        <v>1765</v>
      </c>
      <c r="S275" s="2" t="s">
        <v>28</v>
      </c>
    </row>
    <row r="276" ht="67.5" customHeight="1">
      <c r="A276" s="2" t="s">
        <v>1766</v>
      </c>
      <c r="B276" s="3" t="str">
        <f>IMAGE("https://image.tmdb.org/t/p/w342/2o4vBAnORr9UnLMvWHhULGDHfzH.jpg")</f>
        <v/>
      </c>
      <c r="C276" s="2" t="s">
        <v>1767</v>
      </c>
      <c r="D276" s="4">
        <v>41640.0</v>
      </c>
      <c r="E276" s="5">
        <v>2014.0</v>
      </c>
      <c r="F276" s="2" t="s">
        <v>21</v>
      </c>
      <c r="G276" s="6"/>
      <c r="H276" s="5">
        <v>227348.0</v>
      </c>
      <c r="I276" s="7">
        <v>5.432</v>
      </c>
      <c r="J276" s="2" t="s">
        <v>39</v>
      </c>
      <c r="K276" s="2" t="s">
        <v>1768</v>
      </c>
      <c r="L276" s="8" t="s">
        <v>1769</v>
      </c>
      <c r="M276" s="9">
        <v>84.0</v>
      </c>
      <c r="N276" s="2" t="s">
        <v>1770</v>
      </c>
      <c r="O276" s="2" t="s">
        <v>26</v>
      </c>
      <c r="P276" s="10"/>
      <c r="Q276" s="3"/>
      <c r="R276" s="8" t="s">
        <v>1771</v>
      </c>
      <c r="S276" s="2" t="s">
        <v>28</v>
      </c>
    </row>
    <row r="277" ht="67.5" customHeight="1">
      <c r="A277" s="2" t="s">
        <v>1772</v>
      </c>
      <c r="B277" s="3" t="str">
        <f>IMAGE("https://image.tmdb.org/t/p/w342/7IiTTgloJzvGI1TAYymCfbfl3vT.jpg")</f>
        <v/>
      </c>
      <c r="C277" s="2" t="s">
        <v>1773</v>
      </c>
      <c r="D277" s="4">
        <v>43615.0</v>
      </c>
      <c r="E277" s="5">
        <v>2019.0</v>
      </c>
      <c r="F277" s="2" t="s">
        <v>21</v>
      </c>
      <c r="G277" s="6"/>
      <c r="H277" s="5">
        <v>496243.0</v>
      </c>
      <c r="I277" s="7">
        <v>8.5</v>
      </c>
      <c r="J277" s="2" t="s">
        <v>1774</v>
      </c>
      <c r="K277" s="2" t="s">
        <v>1775</v>
      </c>
      <c r="L277" s="8" t="s">
        <v>1776</v>
      </c>
      <c r="M277" s="9">
        <v>133.0</v>
      </c>
      <c r="N277" s="2" t="s">
        <v>1777</v>
      </c>
      <c r="O277" s="2" t="s">
        <v>26</v>
      </c>
      <c r="P277" s="10"/>
      <c r="Q277" s="3"/>
      <c r="R277" s="8" t="s">
        <v>1778</v>
      </c>
      <c r="S277" s="2" t="s">
        <v>28</v>
      </c>
    </row>
    <row r="278" ht="67.5" customHeight="1">
      <c r="A278" s="2" t="s">
        <v>1779</v>
      </c>
      <c r="B278" s="3" t="str">
        <f>IMAGE("https://image.tmdb.org/t/p/w342/dKhexH8nS08lVlSmwSs00cHFxbY.jpg")</f>
        <v/>
      </c>
      <c r="C278" s="2" t="s">
        <v>1780</v>
      </c>
      <c r="D278" s="4">
        <v>40588.0</v>
      </c>
      <c r="E278" s="5">
        <v>2011.0</v>
      </c>
      <c r="F278" s="2" t="s">
        <v>21</v>
      </c>
      <c r="G278" s="6"/>
      <c r="H278" s="5">
        <v>39513.0</v>
      </c>
      <c r="I278" s="7">
        <v>6.7</v>
      </c>
      <c r="J278" s="2" t="s">
        <v>1781</v>
      </c>
      <c r="K278" s="2" t="s">
        <v>1782</v>
      </c>
      <c r="L278" s="8" t="s">
        <v>1783</v>
      </c>
      <c r="M278" s="9">
        <v>104.0</v>
      </c>
      <c r="N278" s="2" t="s">
        <v>1784</v>
      </c>
      <c r="O278" s="2" t="s">
        <v>56</v>
      </c>
      <c r="P278" s="11">
        <v>5.0</v>
      </c>
      <c r="Q278" s="3"/>
      <c r="R278" s="8" t="s">
        <v>1785</v>
      </c>
      <c r="S278" s="2" t="s">
        <v>28</v>
      </c>
    </row>
    <row r="279" ht="67.5" customHeight="1">
      <c r="A279" s="2" t="s">
        <v>1786</v>
      </c>
      <c r="B279" s="3" t="str">
        <f>IMAGE("https://image.tmdb.org/t/p/w342/z5uIG81pXyHKg7cUFIu84Wjn4NS.jpg")</f>
        <v/>
      </c>
      <c r="C279" s="2" t="s">
        <v>1787</v>
      </c>
      <c r="D279" s="4">
        <v>44820.0</v>
      </c>
      <c r="E279" s="5">
        <v>2022.0</v>
      </c>
      <c r="F279" s="2" t="s">
        <v>21</v>
      </c>
      <c r="G279" s="6"/>
      <c r="H279" s="5">
        <v>949423.0</v>
      </c>
      <c r="I279" s="7">
        <v>7.233</v>
      </c>
      <c r="J279" s="2" t="s">
        <v>93</v>
      </c>
      <c r="K279" s="2" t="s">
        <v>1788</v>
      </c>
      <c r="L279" s="8" t="s">
        <v>1789</v>
      </c>
      <c r="M279" s="9">
        <v>102.0</v>
      </c>
      <c r="N279" s="2" t="s">
        <v>1790</v>
      </c>
      <c r="O279" s="2" t="s">
        <v>26</v>
      </c>
      <c r="P279" s="10"/>
      <c r="Q279" s="3"/>
      <c r="R279" s="8" t="s">
        <v>1791</v>
      </c>
      <c r="S279" s="2" t="s">
        <v>28</v>
      </c>
    </row>
    <row r="280" ht="67.5" customHeight="1">
      <c r="A280" s="2" t="s">
        <v>1792</v>
      </c>
      <c r="B280" s="3" t="str">
        <f>IMAGE("https://image.tmdb.org/t/p/w342/a1gIACZb04bL8EvLqMpofW2Eqeo.jpg")</f>
        <v/>
      </c>
      <c r="C280" s="2" t="s">
        <v>1793</v>
      </c>
      <c r="D280" s="4">
        <v>32619.0</v>
      </c>
      <c r="E280" s="5">
        <v>1989.0</v>
      </c>
      <c r="F280" s="2" t="s">
        <v>31</v>
      </c>
      <c r="G280" s="6"/>
      <c r="H280" s="5">
        <v>8913.0</v>
      </c>
      <c r="I280" s="7">
        <v>6.6</v>
      </c>
      <c r="J280" s="2" t="s">
        <v>93</v>
      </c>
      <c r="K280" s="2" t="s">
        <v>1794</v>
      </c>
      <c r="L280" s="8" t="s">
        <v>1795</v>
      </c>
      <c r="M280" s="9">
        <v>103.0</v>
      </c>
      <c r="N280" s="2" t="s">
        <v>1796</v>
      </c>
      <c r="O280" s="2" t="s">
        <v>56</v>
      </c>
      <c r="P280" s="11">
        <v>5.0</v>
      </c>
      <c r="Q280" s="3"/>
      <c r="R280" s="8" t="s">
        <v>1797</v>
      </c>
      <c r="S280" s="2" t="s">
        <v>28</v>
      </c>
    </row>
    <row r="281" ht="67.5" customHeight="1">
      <c r="A281" s="2" t="s">
        <v>1798</v>
      </c>
      <c r="B281" s="3" t="str">
        <f>IMAGE("https://image.tmdb.org/t/p/w342/6E50WjeOYjDZg9HXgPjYdGtY2jG.jpg")</f>
        <v/>
      </c>
      <c r="C281" s="2" t="s">
        <v>1799</v>
      </c>
      <c r="D281" s="4">
        <v>39666.0</v>
      </c>
      <c r="E281" s="5">
        <v>2008.0</v>
      </c>
      <c r="F281" s="2" t="s">
        <v>21</v>
      </c>
      <c r="G281" s="6"/>
      <c r="H281" s="5">
        <v>10189.0</v>
      </c>
      <c r="I281" s="7">
        <v>6.6</v>
      </c>
      <c r="J281" s="2" t="s">
        <v>441</v>
      </c>
      <c r="K281" s="2" t="s">
        <v>1800</v>
      </c>
      <c r="L281" s="8" t="s">
        <v>1801</v>
      </c>
      <c r="M281" s="9">
        <v>112.0</v>
      </c>
      <c r="N281" s="2" t="s">
        <v>1802</v>
      </c>
      <c r="O281" s="2" t="s">
        <v>56</v>
      </c>
      <c r="P281" s="11">
        <v>5.0</v>
      </c>
      <c r="Q281" s="3"/>
      <c r="R281" s="8" t="s">
        <v>1803</v>
      </c>
      <c r="S281" s="2" t="s">
        <v>28</v>
      </c>
    </row>
    <row r="282" ht="67.5" customHeight="1">
      <c r="A282" s="2" t="s">
        <v>1804</v>
      </c>
      <c r="B282" s="3" t="str">
        <f>IMAGE("https://image.tmdb.org/t/p/w342/gsFoJk9g8W3zgaipRrrURk7LbiF.jpg")</f>
        <v/>
      </c>
      <c r="C282" s="2" t="s">
        <v>1805</v>
      </c>
      <c r="D282" s="4">
        <v>41180.0</v>
      </c>
      <c r="E282" s="5">
        <v>2012.0</v>
      </c>
      <c r="F282" s="2" t="s">
        <v>21</v>
      </c>
      <c r="G282" s="6"/>
      <c r="H282" s="5">
        <v>114150.0</v>
      </c>
      <c r="I282" s="7">
        <v>7.272</v>
      </c>
      <c r="J282" s="2" t="s">
        <v>1806</v>
      </c>
      <c r="K282" s="2" t="s">
        <v>1807</v>
      </c>
      <c r="L282" s="8" t="s">
        <v>1808</v>
      </c>
      <c r="M282" s="9">
        <v>112.0</v>
      </c>
      <c r="N282" s="2" t="s">
        <v>1809</v>
      </c>
      <c r="O282" s="2" t="s">
        <v>56</v>
      </c>
      <c r="P282" s="11">
        <v>5.0</v>
      </c>
      <c r="Q282" s="3"/>
      <c r="R282" s="8" t="s">
        <v>1810</v>
      </c>
      <c r="S282" s="2" t="s">
        <v>28</v>
      </c>
    </row>
    <row r="283" ht="67.5" customHeight="1">
      <c r="A283" s="2" t="s">
        <v>1811</v>
      </c>
      <c r="B283" s="3" t="str">
        <f>IMAGE("https://image.tmdb.org/t/p/w342/oFBQUufCV4c8WZoNhtGM17p884H.jpg")</f>
        <v/>
      </c>
      <c r="C283" s="2" t="s">
        <v>1812</v>
      </c>
      <c r="D283" s="4">
        <v>42131.0</v>
      </c>
      <c r="E283" s="5">
        <v>2015.0</v>
      </c>
      <c r="F283" s="2" t="s">
        <v>21</v>
      </c>
      <c r="G283" s="6"/>
      <c r="H283" s="5">
        <v>254470.0</v>
      </c>
      <c r="I283" s="7">
        <v>6.8</v>
      </c>
      <c r="J283" s="2" t="s">
        <v>1813</v>
      </c>
      <c r="K283" s="2" t="s">
        <v>1814</v>
      </c>
      <c r="L283" s="8" t="s">
        <v>1815</v>
      </c>
      <c r="M283" s="9">
        <v>115.0</v>
      </c>
      <c r="N283" s="2" t="s">
        <v>1816</v>
      </c>
      <c r="O283" s="2" t="s">
        <v>56</v>
      </c>
      <c r="P283" s="11">
        <v>4.0</v>
      </c>
      <c r="Q283" s="3"/>
      <c r="R283" s="8" t="s">
        <v>1817</v>
      </c>
      <c r="S283" s="2" t="s">
        <v>28</v>
      </c>
    </row>
    <row r="284" ht="67.5" customHeight="1">
      <c r="A284" s="2" t="s">
        <v>1818</v>
      </c>
      <c r="B284" s="3"/>
      <c r="C284" s="2" t="s">
        <v>1819</v>
      </c>
      <c r="D284" s="12"/>
      <c r="E284" s="5">
        <v>2016.0</v>
      </c>
      <c r="F284" s="2" t="s">
        <v>31</v>
      </c>
      <c r="G284" s="6"/>
      <c r="H284" s="3"/>
      <c r="I284" s="13"/>
      <c r="J284" s="3"/>
      <c r="K284" s="3"/>
      <c r="L284" s="3"/>
      <c r="M284" s="14"/>
      <c r="N284" s="3"/>
      <c r="O284" s="2" t="s">
        <v>26</v>
      </c>
      <c r="P284" s="10"/>
      <c r="Q284" s="3"/>
      <c r="R284" s="3"/>
      <c r="S284" s="2" t="s">
        <v>272</v>
      </c>
    </row>
    <row r="285" ht="67.5" customHeight="1">
      <c r="A285" s="2" t="s">
        <v>1820</v>
      </c>
      <c r="B285" s="3"/>
      <c r="C285" s="2" t="s">
        <v>1821</v>
      </c>
      <c r="D285" s="12"/>
      <c r="E285" s="5">
        <v>2023.0</v>
      </c>
      <c r="F285" s="2" t="s">
        <v>31</v>
      </c>
      <c r="G285" s="6"/>
      <c r="H285" s="3"/>
      <c r="I285" s="13"/>
      <c r="J285" s="3"/>
      <c r="K285" s="3"/>
      <c r="L285" s="3"/>
      <c r="M285" s="14"/>
      <c r="N285" s="3"/>
      <c r="O285" s="2" t="s">
        <v>26</v>
      </c>
      <c r="P285" s="10"/>
      <c r="Q285" s="3"/>
      <c r="R285" s="3"/>
      <c r="S285" s="2" t="s">
        <v>272</v>
      </c>
    </row>
    <row r="286" ht="67.5" customHeight="1">
      <c r="A286" s="2" t="s">
        <v>1822</v>
      </c>
      <c r="B286" s="3" t="str">
        <f>IMAGE("https://image.tmdb.org/t/p/w342/3705GxG0RN9XDV5y9IiXKYHw1fK.jpg")</f>
        <v/>
      </c>
      <c r="C286" s="2" t="s">
        <v>1823</v>
      </c>
      <c r="D286" s="4">
        <v>39178.0</v>
      </c>
      <c r="E286" s="5">
        <v>2007.0</v>
      </c>
      <c r="F286" s="2" t="s">
        <v>21</v>
      </c>
      <c r="G286" s="6"/>
      <c r="H286" s="5">
        <v>1992.0</v>
      </c>
      <c r="I286" s="7">
        <v>6.7</v>
      </c>
      <c r="J286" s="2" t="s">
        <v>1824</v>
      </c>
      <c r="K286" s="2" t="s">
        <v>1825</v>
      </c>
      <c r="L286" s="8" t="s">
        <v>1826</v>
      </c>
      <c r="M286" s="9">
        <v>105.0</v>
      </c>
      <c r="N286" s="2" t="s">
        <v>1827</v>
      </c>
      <c r="O286" s="2" t="s">
        <v>26</v>
      </c>
      <c r="P286" s="10"/>
      <c r="Q286" s="3"/>
      <c r="R286" s="8" t="s">
        <v>1828</v>
      </c>
      <c r="S286" s="2" t="s">
        <v>28</v>
      </c>
    </row>
    <row r="287" ht="67.5" customHeight="1">
      <c r="A287" s="2" t="s">
        <v>1829</v>
      </c>
      <c r="B287" s="3" t="str">
        <f>IMAGE("https://image.tmdb.org/t/p/w342/hrBWiMWnD7mheMx846ycUWA3ohs.jpg")</f>
        <v/>
      </c>
      <c r="C287" s="2" t="s">
        <v>1830</v>
      </c>
      <c r="D287" s="4">
        <v>36715.0</v>
      </c>
      <c r="E287" s="5">
        <v>2000.0</v>
      </c>
      <c r="F287" s="2" t="s">
        <v>21</v>
      </c>
      <c r="G287" s="6"/>
      <c r="H287" s="5">
        <v>10991.0</v>
      </c>
      <c r="I287" s="7">
        <v>6.539</v>
      </c>
      <c r="J287" s="2" t="s">
        <v>1831</v>
      </c>
      <c r="K287" s="2" t="s">
        <v>1832</v>
      </c>
      <c r="L287" s="8" t="s">
        <v>1833</v>
      </c>
      <c r="M287" s="9">
        <v>73.0</v>
      </c>
      <c r="N287" s="2" t="s">
        <v>1834</v>
      </c>
      <c r="O287" s="2" t="s">
        <v>56</v>
      </c>
      <c r="P287" s="11">
        <v>4.0</v>
      </c>
      <c r="Q287" s="3"/>
      <c r="R287" s="8" t="s">
        <v>1835</v>
      </c>
      <c r="S287" s="2" t="s">
        <v>28</v>
      </c>
    </row>
    <row r="288" ht="67.5" customHeight="1">
      <c r="A288" s="2" t="s">
        <v>1836</v>
      </c>
      <c r="B288" s="3" t="str">
        <f>IMAGE("https://image.tmdb.org/t/p/w342/6YPzBcMH0aPNTvdXNCDLY0zdE1g.jpg")</f>
        <v/>
      </c>
      <c r="C288" s="2" t="s">
        <v>1837</v>
      </c>
      <c r="D288" s="4">
        <v>35994.0</v>
      </c>
      <c r="E288" s="5">
        <v>1998.0</v>
      </c>
      <c r="F288" s="2" t="s">
        <v>21</v>
      </c>
      <c r="G288" s="6"/>
      <c r="H288" s="5">
        <v>10228.0</v>
      </c>
      <c r="I288" s="7">
        <v>6.956</v>
      </c>
      <c r="J288" s="2" t="s">
        <v>1838</v>
      </c>
      <c r="K288" s="2" t="s">
        <v>1839</v>
      </c>
      <c r="L288" s="8" t="s">
        <v>1840</v>
      </c>
      <c r="M288" s="9">
        <v>96.0</v>
      </c>
      <c r="N288" s="2" t="s">
        <v>1841</v>
      </c>
      <c r="O288" s="2" t="s">
        <v>56</v>
      </c>
      <c r="P288" s="11">
        <v>4.0</v>
      </c>
      <c r="Q288" s="3"/>
      <c r="R288" s="8" t="s">
        <v>1842</v>
      </c>
      <c r="S288" s="2" t="s">
        <v>28</v>
      </c>
    </row>
    <row r="289" ht="67.5" customHeight="1">
      <c r="A289" s="2" t="s">
        <v>1843</v>
      </c>
      <c r="B289" s="3" t="str">
        <f>IMAGE("https://image.tmdb.org/t/p/w342/6u65C8aG4krAVyHsTjAMF7ucTDH.jpg")</f>
        <v/>
      </c>
      <c r="C289" s="2" t="s">
        <v>1844</v>
      </c>
      <c r="D289" s="4">
        <v>36358.0</v>
      </c>
      <c r="E289" s="5">
        <v>1999.0</v>
      </c>
      <c r="F289" s="2" t="s">
        <v>21</v>
      </c>
      <c r="G289" s="6"/>
      <c r="H289" s="5">
        <v>12599.0</v>
      </c>
      <c r="I289" s="7">
        <v>6.7</v>
      </c>
      <c r="J289" s="2" t="s">
        <v>1845</v>
      </c>
      <c r="K289" s="2" t="s">
        <v>1846</v>
      </c>
      <c r="L289" s="8" t="s">
        <v>1847</v>
      </c>
      <c r="M289" s="9">
        <v>84.0</v>
      </c>
      <c r="N289" s="2" t="s">
        <v>1848</v>
      </c>
      <c r="O289" s="2" t="s">
        <v>56</v>
      </c>
      <c r="P289" s="11">
        <v>4.0</v>
      </c>
      <c r="Q289" s="3"/>
      <c r="R289" s="8" t="s">
        <v>1849</v>
      </c>
      <c r="S289" s="2" t="s">
        <v>28</v>
      </c>
    </row>
    <row r="290" ht="67.5" customHeight="1">
      <c r="A290" s="2" t="s">
        <v>1850</v>
      </c>
      <c r="B290" s="3" t="str">
        <f>IMAGE("https://image.tmdb.org/t/p/w342/m5AKo8iZAYulI87Uzxkn87vRY07.jpg")</f>
        <v/>
      </c>
      <c r="C290" s="2" t="s">
        <v>1851</v>
      </c>
      <c r="D290" s="4">
        <v>30106.0</v>
      </c>
      <c r="E290" s="5">
        <v>1982.0</v>
      </c>
      <c r="F290" s="2" t="s">
        <v>21</v>
      </c>
      <c r="G290" s="6"/>
      <c r="H290" s="5">
        <v>609.0</v>
      </c>
      <c r="I290" s="7">
        <v>7.155</v>
      </c>
      <c r="J290" s="2" t="s">
        <v>93</v>
      </c>
      <c r="K290" s="2" t="s">
        <v>1852</v>
      </c>
      <c r="L290" s="8" t="s">
        <v>1853</v>
      </c>
      <c r="M290" s="9">
        <v>114.0</v>
      </c>
      <c r="N290" s="2" t="s">
        <v>1854</v>
      </c>
      <c r="O290" s="2" t="s">
        <v>56</v>
      </c>
      <c r="P290" s="11">
        <v>4.0</v>
      </c>
      <c r="Q290" s="3"/>
      <c r="R290" s="8" t="s">
        <v>1855</v>
      </c>
      <c r="S290" s="2" t="s">
        <v>28</v>
      </c>
    </row>
    <row r="291" ht="67.5" customHeight="1">
      <c r="A291" s="2" t="s">
        <v>1856</v>
      </c>
      <c r="B291" s="3"/>
      <c r="C291" s="2" t="s">
        <v>1857</v>
      </c>
      <c r="D291" s="12"/>
      <c r="E291" s="5">
        <v>2019.0</v>
      </c>
      <c r="F291" s="2" t="s">
        <v>31</v>
      </c>
      <c r="G291" s="6"/>
      <c r="H291" s="3"/>
      <c r="I291" s="13"/>
      <c r="J291" s="3"/>
      <c r="K291" s="3"/>
      <c r="L291" s="3"/>
      <c r="M291" s="14"/>
      <c r="N291" s="3"/>
      <c r="O291" s="2" t="s">
        <v>56</v>
      </c>
      <c r="P291" s="11">
        <v>3.0</v>
      </c>
      <c r="Q291" s="3"/>
      <c r="R291" s="3"/>
      <c r="S291" s="2" t="s">
        <v>272</v>
      </c>
    </row>
    <row r="292" ht="67.5" customHeight="1">
      <c r="A292" s="2" t="s">
        <v>1858</v>
      </c>
      <c r="B292" s="3" t="str">
        <f>IMAGE("https://image.tmdb.org/t/p/w342/8ppkhu3pO3fnXr05YeE7ryKloVd.jpg")</f>
        <v/>
      </c>
      <c r="C292" s="2" t="s">
        <v>1859</v>
      </c>
      <c r="D292" s="4">
        <v>39199.0</v>
      </c>
      <c r="E292" s="5">
        <v>2007.0</v>
      </c>
      <c r="F292" s="2" t="s">
        <v>21</v>
      </c>
      <c r="G292" s="6"/>
      <c r="H292" s="5">
        <v>38410.0</v>
      </c>
      <c r="I292" s="7">
        <v>6.543</v>
      </c>
      <c r="J292" s="2" t="s">
        <v>1860</v>
      </c>
      <c r="K292" s="2" t="s">
        <v>1861</v>
      </c>
      <c r="L292" s="8" t="s">
        <v>1862</v>
      </c>
      <c r="M292" s="9">
        <v>81.0</v>
      </c>
      <c r="N292" s="2" t="s">
        <v>1863</v>
      </c>
      <c r="O292" s="2" t="s">
        <v>56</v>
      </c>
      <c r="P292" s="11">
        <v>4.0</v>
      </c>
      <c r="Q292" s="3"/>
      <c r="R292" s="8" t="s">
        <v>1864</v>
      </c>
      <c r="S292" s="2" t="s">
        <v>28</v>
      </c>
    </row>
    <row r="293" ht="67.5" customHeight="1">
      <c r="A293" s="2" t="s">
        <v>1865</v>
      </c>
      <c r="B293" s="3" t="str">
        <f>IMAGE("https://image.tmdb.org/t/p/w342/xEoq2WmDzpzxhkHEsmOYOg6BPg6.jpg")</f>
        <v/>
      </c>
      <c r="C293" s="2" t="s">
        <v>1866</v>
      </c>
      <c r="D293" s="4">
        <v>38268.0</v>
      </c>
      <c r="E293" s="5">
        <v>2004.0</v>
      </c>
      <c r="F293" s="2" t="s">
        <v>21</v>
      </c>
      <c r="G293" s="6"/>
      <c r="H293" s="5">
        <v>14337.0</v>
      </c>
      <c r="I293" s="7">
        <v>6.755</v>
      </c>
      <c r="J293" s="2" t="s">
        <v>1867</v>
      </c>
      <c r="K293" s="2" t="s">
        <v>1868</v>
      </c>
      <c r="L293" s="8" t="s">
        <v>1869</v>
      </c>
      <c r="M293" s="9">
        <v>77.0</v>
      </c>
      <c r="N293" s="2" t="s">
        <v>1870</v>
      </c>
      <c r="O293" s="2" t="s">
        <v>56</v>
      </c>
      <c r="P293" s="11">
        <v>3.0</v>
      </c>
      <c r="Q293" s="3"/>
      <c r="R293" s="8" t="s">
        <v>1871</v>
      </c>
      <c r="S293" s="2" t="s">
        <v>28</v>
      </c>
    </row>
    <row r="294" ht="67.5" customHeight="1">
      <c r="A294" s="2" t="s">
        <v>1872</v>
      </c>
      <c r="B294" s="3" t="str">
        <f>IMAGE("https://image.tmdb.org/t/p/w342/6stnAm1wSek8ZrislwK4xGTyCnt.jpg")</f>
        <v/>
      </c>
      <c r="C294" s="2" t="s">
        <v>1873</v>
      </c>
      <c r="D294" s="4">
        <v>39966.0</v>
      </c>
      <c r="E294" s="5">
        <v>2009.0</v>
      </c>
      <c r="F294" s="2" t="s">
        <v>21</v>
      </c>
      <c r="G294" s="6"/>
      <c r="H294" s="5">
        <v>18240.0</v>
      </c>
      <c r="I294" s="7">
        <v>7.157</v>
      </c>
      <c r="J294" s="2" t="s">
        <v>1874</v>
      </c>
      <c r="K294" s="2" t="s">
        <v>1875</v>
      </c>
      <c r="L294" s="8" t="s">
        <v>1876</v>
      </c>
      <c r="M294" s="9">
        <v>108.0</v>
      </c>
      <c r="N294" s="2" t="s">
        <v>1877</v>
      </c>
      <c r="O294" s="2" t="s">
        <v>56</v>
      </c>
      <c r="P294" s="11">
        <v>4.0</v>
      </c>
      <c r="Q294" s="3"/>
      <c r="R294" s="8" t="s">
        <v>1878</v>
      </c>
      <c r="S294" s="2" t="s">
        <v>28</v>
      </c>
    </row>
    <row r="295" ht="67.5" customHeight="1">
      <c r="A295" s="2" t="s">
        <v>1879</v>
      </c>
      <c r="B295" s="3" t="str">
        <f>IMAGE("https://image.tmdb.org/t/p/w342/c3zEimDraIyMSasPMGDaNOrhnzn.jpg")</f>
        <v/>
      </c>
      <c r="C295" s="2" t="s">
        <v>1880</v>
      </c>
      <c r="D295" s="4">
        <v>36925.0</v>
      </c>
      <c r="E295" s="5">
        <v>2001.0</v>
      </c>
      <c r="F295" s="2" t="s">
        <v>21</v>
      </c>
      <c r="G295" s="6"/>
      <c r="H295" s="5">
        <v>27324.0</v>
      </c>
      <c r="I295" s="7">
        <v>6.7</v>
      </c>
      <c r="J295" s="2" t="s">
        <v>1029</v>
      </c>
      <c r="K295" s="2" t="s">
        <v>1881</v>
      </c>
      <c r="L295" s="8" t="s">
        <v>1882</v>
      </c>
      <c r="M295" s="9">
        <v>119.0</v>
      </c>
      <c r="N295" s="2" t="s">
        <v>1883</v>
      </c>
      <c r="O295" s="2" t="s">
        <v>26</v>
      </c>
      <c r="P295" s="10"/>
      <c r="Q295" s="3"/>
      <c r="R295" s="8" t="s">
        <v>1884</v>
      </c>
      <c r="S295" s="2" t="s">
        <v>28</v>
      </c>
    </row>
    <row r="296" ht="67.5" customHeight="1">
      <c r="A296" s="2" t="s">
        <v>1885</v>
      </c>
      <c r="B296" s="3" t="str">
        <f>IMAGE("https://image.tmdb.org/t/p/w342/46X1ei9uf13nkkr0OhWldGyr5Uh.jpg")</f>
        <v/>
      </c>
      <c r="C296" s="2" t="s">
        <v>1886</v>
      </c>
      <c r="D296" s="4">
        <v>41425.0</v>
      </c>
      <c r="E296" s="5">
        <v>2013.0</v>
      </c>
      <c r="F296" s="2" t="s">
        <v>21</v>
      </c>
      <c r="G296" s="6"/>
      <c r="H296" s="5">
        <v>158015.0</v>
      </c>
      <c r="I296" s="7">
        <v>6.25</v>
      </c>
      <c r="J296" s="2" t="s">
        <v>1887</v>
      </c>
      <c r="K296" s="2" t="s">
        <v>1888</v>
      </c>
      <c r="L296" s="8" t="s">
        <v>1889</v>
      </c>
      <c r="M296" s="9">
        <v>85.0</v>
      </c>
      <c r="N296" s="2" t="s">
        <v>1890</v>
      </c>
      <c r="O296" s="2" t="s">
        <v>56</v>
      </c>
      <c r="P296" s="11">
        <v>5.0</v>
      </c>
      <c r="Q296" s="3"/>
      <c r="R296" s="8" t="s">
        <v>1891</v>
      </c>
      <c r="S296" s="2" t="s">
        <v>28</v>
      </c>
    </row>
    <row r="297" ht="67.5" customHeight="1">
      <c r="A297" s="2" t="s">
        <v>1892</v>
      </c>
      <c r="B297" s="3" t="str">
        <f>IMAGE("https://image.tmdb.org/t/p/w342/qwqHHZLZSUvMkAMQ47ymtfjEifY.jpg")</f>
        <v/>
      </c>
      <c r="C297" s="2" t="s">
        <v>1893</v>
      </c>
      <c r="D297" s="4">
        <v>41837.0</v>
      </c>
      <c r="E297" s="5">
        <v>2014.0</v>
      </c>
      <c r="F297" s="2" t="s">
        <v>21</v>
      </c>
      <c r="G297" s="6"/>
      <c r="H297" s="5">
        <v>238636.0</v>
      </c>
      <c r="I297" s="7">
        <v>6.627</v>
      </c>
      <c r="J297" s="2" t="s">
        <v>39</v>
      </c>
      <c r="K297" s="2" t="s">
        <v>1894</v>
      </c>
      <c r="L297" s="8" t="s">
        <v>1895</v>
      </c>
      <c r="M297" s="9">
        <v>103.0</v>
      </c>
      <c r="N297" s="2" t="s">
        <v>1896</v>
      </c>
      <c r="O297" s="2" t="s">
        <v>56</v>
      </c>
      <c r="P297" s="11">
        <v>2.0</v>
      </c>
      <c r="Q297" s="3"/>
      <c r="R297" s="8" t="s">
        <v>1897</v>
      </c>
      <c r="S297" s="2" t="s">
        <v>28</v>
      </c>
    </row>
    <row r="298" ht="67.5" customHeight="1">
      <c r="A298" s="2" t="s">
        <v>1898</v>
      </c>
      <c r="B298" s="3" t="str">
        <f>IMAGE("https://image.tmdb.org/t/p/w342/gg7tlp45xqGWMra0sqQVPvybje2.jpg")</f>
        <v/>
      </c>
      <c r="C298" s="2" t="s">
        <v>1899</v>
      </c>
      <c r="D298" s="4">
        <v>42550.0</v>
      </c>
      <c r="E298" s="5">
        <v>2016.0</v>
      </c>
      <c r="F298" s="2" t="s">
        <v>21</v>
      </c>
      <c r="G298" s="6"/>
      <c r="H298" s="5">
        <v>316727.0</v>
      </c>
      <c r="I298" s="7">
        <v>6.381</v>
      </c>
      <c r="J298" s="2" t="s">
        <v>669</v>
      </c>
      <c r="K298" s="2" t="s">
        <v>1900</v>
      </c>
      <c r="L298" s="8" t="s">
        <v>1901</v>
      </c>
      <c r="M298" s="9">
        <v>109.0</v>
      </c>
      <c r="N298" s="2" t="s">
        <v>1902</v>
      </c>
      <c r="O298" s="2" t="s">
        <v>56</v>
      </c>
      <c r="P298" s="11">
        <v>2.0</v>
      </c>
      <c r="Q298" s="3"/>
      <c r="R298" s="8" t="s">
        <v>1903</v>
      </c>
      <c r="S298" s="2" t="s">
        <v>28</v>
      </c>
    </row>
    <row r="299" ht="67.5" customHeight="1">
      <c r="A299" s="2" t="s">
        <v>1904</v>
      </c>
      <c r="B299" s="3" t="str">
        <f>IMAGE("https://image.tmdb.org/t/p/w342/kc8jT1MAiKM0iwdjAwC5lQrTNry.jpg")</f>
        <v/>
      </c>
      <c r="C299" s="2" t="s">
        <v>1905</v>
      </c>
      <c r="D299" s="4">
        <v>42804.0</v>
      </c>
      <c r="E299" s="5">
        <v>2016.0</v>
      </c>
      <c r="F299" s="2" t="s">
        <v>21</v>
      </c>
      <c r="G299" s="6"/>
      <c r="H299" s="5">
        <v>393519.0</v>
      </c>
      <c r="I299" s="7">
        <v>7.022</v>
      </c>
      <c r="J299" s="2" t="s">
        <v>184</v>
      </c>
      <c r="K299" s="2" t="s">
        <v>1906</v>
      </c>
      <c r="L299" s="8" t="s">
        <v>1907</v>
      </c>
      <c r="M299" s="9">
        <v>98.0</v>
      </c>
      <c r="N299" s="2" t="s">
        <v>1908</v>
      </c>
      <c r="O299" s="2" t="s">
        <v>26</v>
      </c>
      <c r="P299" s="10"/>
      <c r="Q299" s="3"/>
      <c r="R299" s="8" t="s">
        <v>1909</v>
      </c>
      <c r="S299" s="2" t="s">
        <v>28</v>
      </c>
    </row>
    <row r="300" ht="67.5" customHeight="1">
      <c r="A300" s="2" t="s">
        <v>1910</v>
      </c>
      <c r="B300" s="3" t="str">
        <f>IMAGE("https://image.tmdb.org/t/p/w342/oJD9KQFoObZmxAS1je56SIFVNJt.jpg")</f>
        <v/>
      </c>
      <c r="C300" s="2" t="s">
        <v>1911</v>
      </c>
      <c r="D300" s="4">
        <v>43698.0</v>
      </c>
      <c r="E300" s="5">
        <v>2019.0</v>
      </c>
      <c r="F300" s="2" t="s">
        <v>21</v>
      </c>
      <c r="G300" s="6"/>
      <c r="H300" s="5">
        <v>567609.0</v>
      </c>
      <c r="I300" s="7">
        <v>7.067</v>
      </c>
      <c r="J300" s="2" t="s">
        <v>251</v>
      </c>
      <c r="K300" s="2" t="s">
        <v>1912</v>
      </c>
      <c r="L300" s="8" t="s">
        <v>1913</v>
      </c>
      <c r="M300" s="9">
        <v>96.0</v>
      </c>
      <c r="N300" s="2" t="s">
        <v>1914</v>
      </c>
      <c r="O300" s="2" t="s">
        <v>56</v>
      </c>
      <c r="P300" s="11">
        <v>5.0</v>
      </c>
      <c r="Q300" s="3"/>
      <c r="R300" s="8" t="s">
        <v>1915</v>
      </c>
      <c r="S300" s="2" t="s">
        <v>28</v>
      </c>
    </row>
    <row r="301" ht="67.5" customHeight="1">
      <c r="A301" s="2" t="s">
        <v>1916</v>
      </c>
      <c r="B301" s="3" t="str">
        <f>IMAGE("https://image.tmdb.org/t/p/w342/pU1ULUq8D3iRxl1fdX2lZIzdHuI.jpg")</f>
        <v/>
      </c>
      <c r="C301" s="2" t="s">
        <v>1917</v>
      </c>
      <c r="D301" s="4">
        <v>43187.0</v>
      </c>
      <c r="E301" s="5">
        <v>2018.0</v>
      </c>
      <c r="F301" s="2" t="s">
        <v>21</v>
      </c>
      <c r="G301" s="6"/>
      <c r="H301" s="5">
        <v>333339.0</v>
      </c>
      <c r="I301" s="7">
        <v>7.586</v>
      </c>
      <c r="J301" s="2" t="s">
        <v>1452</v>
      </c>
      <c r="K301" s="2" t="s">
        <v>1918</v>
      </c>
      <c r="L301" s="8" t="s">
        <v>1919</v>
      </c>
      <c r="M301" s="9">
        <v>140.0</v>
      </c>
      <c r="N301" s="2" t="s">
        <v>1920</v>
      </c>
      <c r="O301" s="2" t="s">
        <v>56</v>
      </c>
      <c r="P301" s="11">
        <v>4.0</v>
      </c>
      <c r="Q301" s="3"/>
      <c r="R301" s="8" t="s">
        <v>1921</v>
      </c>
      <c r="S301" s="2" t="s">
        <v>28</v>
      </c>
    </row>
    <row r="302" ht="67.5" customHeight="1">
      <c r="A302" s="2" t="s">
        <v>1922</v>
      </c>
      <c r="B302" s="3" t="str">
        <f>IMAGE("https://image.tmdb.org/t/p/w342/ipBiyifbFqY0ZduO3R9OPBjc2pH.jpg")</f>
        <v/>
      </c>
      <c r="C302" s="2" t="s">
        <v>1923</v>
      </c>
      <c r="D302" s="4">
        <v>39358.0</v>
      </c>
      <c r="E302" s="5">
        <v>2007.0</v>
      </c>
      <c r="F302" s="2" t="s">
        <v>21</v>
      </c>
      <c r="G302" s="6"/>
      <c r="H302" s="5">
        <v>13564.0</v>
      </c>
      <c r="I302" s="7">
        <v>5.495</v>
      </c>
      <c r="J302" s="2" t="s">
        <v>39</v>
      </c>
      <c r="K302" s="2" t="s">
        <v>1924</v>
      </c>
      <c r="L302" s="8" t="s">
        <v>1925</v>
      </c>
      <c r="M302" s="9">
        <v>81.0</v>
      </c>
      <c r="N302" s="2" t="s">
        <v>1926</v>
      </c>
      <c r="O302" s="2" t="s">
        <v>56</v>
      </c>
      <c r="P302" s="11">
        <v>3.0</v>
      </c>
      <c r="Q302" s="3"/>
      <c r="R302" s="8" t="s">
        <v>1927</v>
      </c>
      <c r="S302" s="2" t="s">
        <v>28</v>
      </c>
    </row>
    <row r="303" ht="67.5" customHeight="1">
      <c r="A303" s="2" t="s">
        <v>1928</v>
      </c>
      <c r="B303" s="3" t="str">
        <f>IMAGE("https://tvtropes.org/pmwiki/pmwiki.php/Film/TheRing2002")</f>
        <v/>
      </c>
      <c r="C303" s="2" t="s">
        <v>1929</v>
      </c>
      <c r="D303" s="4">
        <v>37243.0</v>
      </c>
      <c r="E303" s="5">
        <v>2002.0</v>
      </c>
      <c r="F303" s="2" t="s">
        <v>31</v>
      </c>
      <c r="G303" s="6"/>
      <c r="H303" s="5">
        <v>120.0</v>
      </c>
      <c r="I303" s="7">
        <v>7.1</v>
      </c>
      <c r="J303" s="2" t="s">
        <v>39</v>
      </c>
      <c r="K303" s="2" t="s">
        <v>1434</v>
      </c>
      <c r="L303" s="8" t="s">
        <v>1435</v>
      </c>
      <c r="M303" s="9">
        <v>115.0</v>
      </c>
      <c r="N303" s="2" t="s">
        <v>1930</v>
      </c>
      <c r="O303" s="2" t="s">
        <v>56</v>
      </c>
      <c r="P303" s="11">
        <v>5.0</v>
      </c>
      <c r="Q303" s="3"/>
      <c r="R303" s="8" t="s">
        <v>1437</v>
      </c>
      <c r="S303" s="2" t="s">
        <v>28</v>
      </c>
    </row>
    <row r="304" ht="67.5" customHeight="1">
      <c r="A304" s="2" t="s">
        <v>1931</v>
      </c>
      <c r="B304" s="3" t="str">
        <f>IMAGE("https://image.tmdb.org/t/p/w342/1YINof6kN5yRdePEbcU5360ejoq.jpg")</f>
        <v/>
      </c>
      <c r="C304" s="2" t="s">
        <v>1932</v>
      </c>
      <c r="D304" s="4">
        <v>35826.0</v>
      </c>
      <c r="E304" s="5">
        <v>1998.0</v>
      </c>
      <c r="F304" s="2" t="s">
        <v>21</v>
      </c>
      <c r="G304" s="6"/>
      <c r="H304" s="5">
        <v>2671.0</v>
      </c>
      <c r="I304" s="7">
        <v>7.1</v>
      </c>
      <c r="J304" s="2" t="s">
        <v>39</v>
      </c>
      <c r="K304" s="2" t="s">
        <v>1933</v>
      </c>
      <c r="L304" s="8" t="s">
        <v>1934</v>
      </c>
      <c r="M304" s="9">
        <v>96.0</v>
      </c>
      <c r="N304" s="2" t="s">
        <v>1935</v>
      </c>
      <c r="O304" s="2" t="s">
        <v>26</v>
      </c>
      <c r="P304" s="10"/>
      <c r="Q304" s="3"/>
      <c r="R304" s="8" t="s">
        <v>1936</v>
      </c>
      <c r="S304" s="2" t="s">
        <v>28</v>
      </c>
    </row>
    <row r="305" ht="67.5" customHeight="1">
      <c r="A305" s="2" t="s">
        <v>1937</v>
      </c>
      <c r="B305" s="3" t="str">
        <f>IMAGE("https://image.tmdb.org/t/p/w342/bHbz7z2pecTawhkqLpuC2m0qywe.jpg")</f>
        <v/>
      </c>
      <c r="C305" s="2" t="s">
        <v>1938</v>
      </c>
      <c r="D305" s="4">
        <v>38421.0</v>
      </c>
      <c r="E305" s="5">
        <v>2005.0</v>
      </c>
      <c r="F305" s="2" t="s">
        <v>31</v>
      </c>
      <c r="G305" s="6"/>
      <c r="H305" s="5">
        <v>10320.0</v>
      </c>
      <c r="I305" s="7">
        <v>5.759</v>
      </c>
      <c r="J305" s="2" t="s">
        <v>755</v>
      </c>
      <c r="K305" s="2" t="s">
        <v>1939</v>
      </c>
      <c r="L305" s="8" t="s">
        <v>1940</v>
      </c>
      <c r="M305" s="9">
        <v>109.0</v>
      </c>
      <c r="N305" s="2" t="s">
        <v>1941</v>
      </c>
      <c r="O305" s="2" t="s">
        <v>56</v>
      </c>
      <c r="P305" s="11">
        <v>2.0</v>
      </c>
      <c r="Q305" s="3"/>
      <c r="R305" s="8" t="s">
        <v>1942</v>
      </c>
      <c r="S305" s="2" t="s">
        <v>28</v>
      </c>
    </row>
    <row r="306" ht="67.5" customHeight="1">
      <c r="A306" s="2" t="s">
        <v>1943</v>
      </c>
      <c r="B306" s="3" t="str">
        <f>IMAGE("https://image.tmdb.org/t/p/w342/yp4CDOVpVmNwiPoZKQeFCpW8CFo.jpg")</f>
        <v/>
      </c>
      <c r="C306" s="2" t="s">
        <v>1944</v>
      </c>
      <c r="D306" s="4">
        <v>42767.0</v>
      </c>
      <c r="E306" s="5">
        <v>2017.0</v>
      </c>
      <c r="F306" s="2" t="s">
        <v>31</v>
      </c>
      <c r="G306" s="6"/>
      <c r="H306" s="5">
        <v>14564.0</v>
      </c>
      <c r="I306" s="7">
        <v>5.022</v>
      </c>
      <c r="J306" s="2" t="s">
        <v>93</v>
      </c>
      <c r="K306" s="2" t="s">
        <v>1945</v>
      </c>
      <c r="L306" s="8" t="s">
        <v>1946</v>
      </c>
      <c r="M306" s="9">
        <v>102.0</v>
      </c>
      <c r="N306" s="2" t="s">
        <v>1947</v>
      </c>
      <c r="O306" s="2" t="s">
        <v>56</v>
      </c>
      <c r="P306" s="11">
        <v>3.0</v>
      </c>
      <c r="Q306" s="3"/>
      <c r="R306" s="8" t="s">
        <v>1948</v>
      </c>
      <c r="S306" s="2" t="s">
        <v>28</v>
      </c>
    </row>
    <row r="307" ht="67.5" customHeight="1">
      <c r="A307" s="2" t="s">
        <v>1949</v>
      </c>
      <c r="B307" s="3" t="str">
        <f>IMAGE("https://image.tmdb.org/t/p/w342/oqA45qMyyo1TtrnVEBKxqmTPhbN.jpg")</f>
        <v/>
      </c>
      <c r="C307" s="2" t="s">
        <v>1950</v>
      </c>
      <c r="D307" s="4">
        <v>40758.0</v>
      </c>
      <c r="E307" s="5">
        <v>2011.0</v>
      </c>
      <c r="F307" s="2" t="s">
        <v>31</v>
      </c>
      <c r="G307" s="6"/>
      <c r="H307" s="5">
        <v>61791.0</v>
      </c>
      <c r="I307" s="7">
        <v>7.3</v>
      </c>
      <c r="J307" s="2" t="s">
        <v>1951</v>
      </c>
      <c r="K307" s="2" t="s">
        <v>1952</v>
      </c>
      <c r="L307" s="8" t="s">
        <v>1953</v>
      </c>
      <c r="M307" s="9">
        <v>105.0</v>
      </c>
      <c r="N307" s="2" t="s">
        <v>1954</v>
      </c>
      <c r="O307" s="2" t="s">
        <v>56</v>
      </c>
      <c r="P307" s="11">
        <v>5.0</v>
      </c>
      <c r="Q307" s="3"/>
      <c r="R307" s="8" t="s">
        <v>1955</v>
      </c>
      <c r="S307" s="2" t="s">
        <v>28</v>
      </c>
    </row>
    <row r="308" ht="67.5" customHeight="1">
      <c r="A308" s="2" t="s">
        <v>1956</v>
      </c>
      <c r="B308" s="3" t="str">
        <f>IMAGE("https://image.tmdb.org/t/p/w342/esmAU0fCO28FbS6bUBKLAzJrohZ.jpg")</f>
        <v/>
      </c>
      <c r="C308" s="2" t="s">
        <v>1957</v>
      </c>
      <c r="D308" s="4">
        <v>31975.0</v>
      </c>
      <c r="E308" s="5">
        <v>1987.0</v>
      </c>
      <c r="F308" s="2" t="s">
        <v>31</v>
      </c>
      <c r="G308" s="6"/>
      <c r="H308" s="5">
        <v>5548.0</v>
      </c>
      <c r="I308" s="7">
        <v>7.358</v>
      </c>
      <c r="J308" s="2" t="s">
        <v>1958</v>
      </c>
      <c r="K308" s="2" t="s">
        <v>1959</v>
      </c>
      <c r="L308" s="8" t="s">
        <v>1960</v>
      </c>
      <c r="M308" s="9">
        <v>102.0</v>
      </c>
      <c r="N308" s="2" t="s">
        <v>1961</v>
      </c>
      <c r="O308" s="2" t="s">
        <v>26</v>
      </c>
      <c r="P308" s="10"/>
      <c r="Q308" s="3"/>
      <c r="R308" s="8" t="s">
        <v>1962</v>
      </c>
      <c r="S308" s="2" t="s">
        <v>28</v>
      </c>
    </row>
    <row r="309" ht="67.5" customHeight="1">
      <c r="A309" s="2" t="s">
        <v>1963</v>
      </c>
      <c r="B309" s="3" t="str">
        <f>IMAGE("https://image.tmdb.org/t/p/w342/mi5lh2brPMzuWYddyUKuCtcnjt1.jpg")</f>
        <v/>
      </c>
      <c r="C309" s="2" t="s">
        <v>1964</v>
      </c>
      <c r="D309" s="4">
        <v>44218.0</v>
      </c>
      <c r="E309" s="5">
        <v>2021.0</v>
      </c>
      <c r="F309" s="2" t="s">
        <v>31</v>
      </c>
      <c r="G309" s="6"/>
      <c r="H309" s="5">
        <v>776797.0</v>
      </c>
      <c r="I309" s="7">
        <v>6.8</v>
      </c>
      <c r="J309" s="2" t="s">
        <v>39</v>
      </c>
      <c r="K309" s="2" t="s">
        <v>1965</v>
      </c>
      <c r="L309" s="8" t="s">
        <v>1966</v>
      </c>
      <c r="M309" s="9">
        <v>100.0</v>
      </c>
      <c r="N309" s="2" t="s">
        <v>1967</v>
      </c>
      <c r="O309" s="2" t="s">
        <v>26</v>
      </c>
      <c r="P309" s="10"/>
      <c r="Q309" s="3"/>
      <c r="R309" s="8" t="s">
        <v>1968</v>
      </c>
      <c r="S309" s="2" t="s">
        <v>28</v>
      </c>
    </row>
    <row r="310" ht="67.5" customHeight="1">
      <c r="A310" s="2" t="s">
        <v>1969</v>
      </c>
      <c r="B310" s="3" t="str">
        <f>IMAGE("https://image.tmdb.org/t/p/w342/rLNSOudrayDBo1uqXjrhxcjODIC.jpg")</f>
        <v/>
      </c>
      <c r="C310" s="2" t="s">
        <v>1970</v>
      </c>
      <c r="D310" s="4">
        <v>38261.0</v>
      </c>
      <c r="E310" s="5">
        <v>2004.0</v>
      </c>
      <c r="F310" s="2" t="s">
        <v>21</v>
      </c>
      <c r="G310" s="6"/>
      <c r="H310" s="5">
        <v>176.0</v>
      </c>
      <c r="I310" s="7">
        <v>7.4</v>
      </c>
      <c r="J310" s="2" t="s">
        <v>1971</v>
      </c>
      <c r="K310" s="2" t="s">
        <v>1972</v>
      </c>
      <c r="L310" s="8" t="s">
        <v>1973</v>
      </c>
      <c r="M310" s="9">
        <v>103.0</v>
      </c>
      <c r="N310" s="2" t="s">
        <v>1974</v>
      </c>
      <c r="O310" s="2" t="s">
        <v>56</v>
      </c>
      <c r="P310" s="11">
        <v>5.0</v>
      </c>
      <c r="Q310" s="3"/>
      <c r="R310" s="8" t="s">
        <v>1975</v>
      </c>
      <c r="S310" s="2" t="s">
        <v>28</v>
      </c>
    </row>
    <row r="311" ht="67.5" customHeight="1">
      <c r="A311" s="2" t="s">
        <v>1976</v>
      </c>
      <c r="B311" s="3" t="str">
        <f>IMAGE("https://image.tmdb.org/t/p/w342/gTnaTysN8HsvVQqTRUh8m35mmUA.jpg")</f>
        <v/>
      </c>
      <c r="C311" s="2" t="s">
        <v>1977</v>
      </c>
      <c r="D311" s="4">
        <v>38653.0</v>
      </c>
      <c r="E311" s="5">
        <v>2005.0</v>
      </c>
      <c r="F311" s="2" t="s">
        <v>21</v>
      </c>
      <c r="G311" s="6"/>
      <c r="H311" s="5">
        <v>215.0</v>
      </c>
      <c r="I311" s="7">
        <v>6.6</v>
      </c>
      <c r="J311" s="2" t="s">
        <v>93</v>
      </c>
      <c r="K311" s="2" t="s">
        <v>1978</v>
      </c>
      <c r="L311" s="8" t="s">
        <v>1979</v>
      </c>
      <c r="M311" s="9">
        <v>93.0</v>
      </c>
      <c r="N311" s="2" t="s">
        <v>1980</v>
      </c>
      <c r="O311" s="2" t="s">
        <v>56</v>
      </c>
      <c r="P311" s="11">
        <v>5.0</v>
      </c>
      <c r="Q311" s="3"/>
      <c r="R311" s="8" t="s">
        <v>1981</v>
      </c>
      <c r="S311" s="2" t="s">
        <v>28</v>
      </c>
    </row>
    <row r="312" ht="67.5" customHeight="1">
      <c r="A312" s="2" t="s">
        <v>1982</v>
      </c>
      <c r="B312" s="3" t="str">
        <f>IMAGE("https://image.tmdb.org/t/p/w342/4iO9n24Rb10peXV0JH2EldIOrAp.jpg")</f>
        <v/>
      </c>
      <c r="C312" s="2" t="s">
        <v>1983</v>
      </c>
      <c r="D312" s="4">
        <v>39016.0</v>
      </c>
      <c r="E312" s="5">
        <v>2006.0</v>
      </c>
      <c r="F312" s="2" t="s">
        <v>21</v>
      </c>
      <c r="G312" s="6"/>
      <c r="H312" s="5">
        <v>214.0</v>
      </c>
      <c r="I312" s="7">
        <v>6.416</v>
      </c>
      <c r="J312" s="2" t="s">
        <v>1984</v>
      </c>
      <c r="K312" s="2" t="s">
        <v>1985</v>
      </c>
      <c r="L312" s="8" t="s">
        <v>1986</v>
      </c>
      <c r="M312" s="9">
        <v>108.0</v>
      </c>
      <c r="N312" s="2" t="s">
        <v>1987</v>
      </c>
      <c r="O312" s="2" t="s">
        <v>56</v>
      </c>
      <c r="P312" s="11">
        <v>4.0</v>
      </c>
      <c r="Q312" s="3"/>
      <c r="R312" s="8" t="s">
        <v>1988</v>
      </c>
      <c r="S312" s="2" t="s">
        <v>28</v>
      </c>
    </row>
    <row r="313" ht="67.5" customHeight="1">
      <c r="A313" s="2" t="s">
        <v>1989</v>
      </c>
      <c r="B313" s="3" t="str">
        <f>IMAGE("https://image.tmdb.org/t/p/w342/ku1QdCXOU4ckz3zxLLlis8MIJVm.jpg")</f>
        <v/>
      </c>
      <c r="C313" s="2" t="s">
        <v>1990</v>
      </c>
      <c r="D313" s="4">
        <v>39380.0</v>
      </c>
      <c r="E313" s="5">
        <v>2007.0</v>
      </c>
      <c r="F313" s="2" t="s">
        <v>21</v>
      </c>
      <c r="G313" s="6"/>
      <c r="H313" s="5">
        <v>663.0</v>
      </c>
      <c r="I313" s="7">
        <v>6.165</v>
      </c>
      <c r="J313" s="2" t="s">
        <v>1984</v>
      </c>
      <c r="K313" s="2" t="s">
        <v>1991</v>
      </c>
      <c r="L313" s="8" t="s">
        <v>1992</v>
      </c>
      <c r="M313" s="9">
        <v>93.0</v>
      </c>
      <c r="N313" s="2" t="s">
        <v>1993</v>
      </c>
      <c r="O313" s="2" t="s">
        <v>56</v>
      </c>
      <c r="P313" s="11">
        <v>3.0</v>
      </c>
      <c r="Q313" s="3"/>
      <c r="R313" s="8" t="s">
        <v>1994</v>
      </c>
      <c r="S313" s="2" t="s">
        <v>28</v>
      </c>
    </row>
    <row r="314" ht="67.5" customHeight="1">
      <c r="A314" s="2" t="s">
        <v>1995</v>
      </c>
      <c r="B314" s="3" t="str">
        <f>IMAGE("https://image.tmdb.org/t/p/w342/rKl79KqLXg60KFyKsLe4wSSjQ08.jpg")</f>
        <v/>
      </c>
      <c r="C314" s="2" t="s">
        <v>1996</v>
      </c>
      <c r="D314" s="4">
        <v>39744.0</v>
      </c>
      <c r="E314" s="5">
        <v>2008.0</v>
      </c>
      <c r="F314" s="2" t="s">
        <v>21</v>
      </c>
      <c r="G314" s="6"/>
      <c r="H314" s="5">
        <v>11917.0</v>
      </c>
      <c r="I314" s="7">
        <v>6.173</v>
      </c>
      <c r="J314" s="2" t="s">
        <v>1984</v>
      </c>
      <c r="K314" s="2" t="s">
        <v>1997</v>
      </c>
      <c r="L314" s="8" t="s">
        <v>1998</v>
      </c>
      <c r="M314" s="9">
        <v>95.0</v>
      </c>
      <c r="N314" s="2" t="s">
        <v>1999</v>
      </c>
      <c r="O314" s="2" t="s">
        <v>56</v>
      </c>
      <c r="P314" s="11">
        <v>3.0</v>
      </c>
      <c r="Q314" s="3"/>
      <c r="R314" s="8" t="s">
        <v>2000</v>
      </c>
      <c r="S314" s="2" t="s">
        <v>28</v>
      </c>
    </row>
    <row r="315" ht="67.5" customHeight="1">
      <c r="A315" s="2" t="s">
        <v>2001</v>
      </c>
      <c r="B315" s="3" t="str">
        <f>IMAGE("https://image.tmdb.org/t/p/w342/9JtluosCbioSXJSABZByaODyPpa.jpg")</f>
        <v/>
      </c>
      <c r="C315" s="2" t="s">
        <v>2002</v>
      </c>
      <c r="D315" s="4">
        <v>40108.0</v>
      </c>
      <c r="E315" s="5">
        <v>2009.0</v>
      </c>
      <c r="F315" s="2" t="s">
        <v>21</v>
      </c>
      <c r="G315" s="6"/>
      <c r="H315" s="5">
        <v>22804.0</v>
      </c>
      <c r="I315" s="7">
        <v>6.29</v>
      </c>
      <c r="J315" s="2" t="s">
        <v>39</v>
      </c>
      <c r="K315" s="2" t="s">
        <v>2003</v>
      </c>
      <c r="L315" s="8" t="s">
        <v>2004</v>
      </c>
      <c r="M315" s="9">
        <v>90.0</v>
      </c>
      <c r="N315" s="2" t="s">
        <v>2005</v>
      </c>
      <c r="O315" s="2" t="s">
        <v>56</v>
      </c>
      <c r="P315" s="11">
        <v>3.0</v>
      </c>
      <c r="Q315" s="3"/>
      <c r="R315" s="8" t="s">
        <v>2006</v>
      </c>
      <c r="S315" s="2" t="s">
        <v>28</v>
      </c>
    </row>
    <row r="316" ht="67.5" customHeight="1">
      <c r="A316" s="2" t="s">
        <v>2007</v>
      </c>
      <c r="B316" s="3" t="str">
        <f>IMAGE("https://image.tmdb.org/t/p/w342/qHCZ6LjtmqWDfXXN28TlIC9OppK.jpg")</f>
        <v/>
      </c>
      <c r="C316" s="2" t="s">
        <v>2008</v>
      </c>
      <c r="D316" s="4">
        <v>40473.0</v>
      </c>
      <c r="E316" s="5">
        <v>2010.0</v>
      </c>
      <c r="F316" s="2" t="s">
        <v>21</v>
      </c>
      <c r="G316" s="6"/>
      <c r="H316" s="5">
        <v>41439.0</v>
      </c>
      <c r="I316" s="7">
        <v>6.0</v>
      </c>
      <c r="J316" s="2" t="s">
        <v>2009</v>
      </c>
      <c r="K316" s="2" t="s">
        <v>2010</v>
      </c>
      <c r="L316" s="8" t="s">
        <v>2011</v>
      </c>
      <c r="M316" s="9">
        <v>90.0</v>
      </c>
      <c r="N316" s="2" t="s">
        <v>2012</v>
      </c>
      <c r="O316" s="2" t="s">
        <v>56</v>
      </c>
      <c r="P316" s="11">
        <v>3.0</v>
      </c>
      <c r="Q316" s="3"/>
      <c r="R316" s="8" t="s">
        <v>2013</v>
      </c>
      <c r="S316" s="2" t="s">
        <v>28</v>
      </c>
    </row>
    <row r="317" ht="67.5" customHeight="1">
      <c r="A317" s="2" t="s">
        <v>2014</v>
      </c>
      <c r="B317" s="3" t="str">
        <f>IMAGE("https://image.tmdb.org/t/p/w342/fVQFPRuw3yWXojYDJvA5EoFjUOY.jpg")</f>
        <v/>
      </c>
      <c r="C317" s="2" t="s">
        <v>2015</v>
      </c>
      <c r="D317" s="4">
        <v>36714.0</v>
      </c>
      <c r="E317" s="5">
        <v>2000.0</v>
      </c>
      <c r="F317" s="2" t="s">
        <v>21</v>
      </c>
      <c r="G317" s="6"/>
      <c r="H317" s="5">
        <v>4247.0</v>
      </c>
      <c r="I317" s="7">
        <v>6.394</v>
      </c>
      <c r="J317" s="2" t="s">
        <v>146</v>
      </c>
      <c r="K317" s="2" t="s">
        <v>2016</v>
      </c>
      <c r="L317" s="8" t="s">
        <v>2017</v>
      </c>
      <c r="M317" s="9">
        <v>88.0</v>
      </c>
      <c r="N317" s="2" t="s">
        <v>2018</v>
      </c>
      <c r="O317" s="2" t="s">
        <v>56</v>
      </c>
      <c r="P317" s="11">
        <v>5.0</v>
      </c>
      <c r="Q317" s="3"/>
      <c r="R317" s="8" t="s">
        <v>2019</v>
      </c>
      <c r="S317" s="2" t="s">
        <v>28</v>
      </c>
    </row>
    <row r="318" ht="67.5" customHeight="1">
      <c r="A318" s="2" t="s">
        <v>2020</v>
      </c>
      <c r="B318" s="3" t="str">
        <f>IMAGE("https://image.tmdb.org/t/p/w342/7Eb1JWK0Cb0rbfsYjwfc9g0PbQH.jpg")</f>
        <v/>
      </c>
      <c r="C318" s="2" t="s">
        <v>2021</v>
      </c>
      <c r="D318" s="4">
        <v>37076.0</v>
      </c>
      <c r="E318" s="5">
        <v>2001.0</v>
      </c>
      <c r="F318" s="2" t="s">
        <v>21</v>
      </c>
      <c r="G318" s="6"/>
      <c r="H318" s="5">
        <v>4248.0</v>
      </c>
      <c r="I318" s="7">
        <v>5.8</v>
      </c>
      <c r="J318" s="2" t="s">
        <v>146</v>
      </c>
      <c r="K318" s="2" t="s">
        <v>2022</v>
      </c>
      <c r="L318" s="8" t="s">
        <v>2023</v>
      </c>
      <c r="M318" s="9">
        <v>82.0</v>
      </c>
      <c r="N318" s="2" t="s">
        <v>2024</v>
      </c>
      <c r="O318" s="2" t="s">
        <v>56</v>
      </c>
      <c r="P318" s="11">
        <v>5.0</v>
      </c>
      <c r="Q318" s="3"/>
      <c r="R318" s="8" t="s">
        <v>2025</v>
      </c>
      <c r="S318" s="2" t="s">
        <v>28</v>
      </c>
    </row>
    <row r="319" ht="67.5" customHeight="1">
      <c r="A319" s="2" t="s">
        <v>2026</v>
      </c>
      <c r="B319" s="3" t="str">
        <f>IMAGE("https://image.tmdb.org/t/p/w342/lpNG1nx67rvYze1b1R9q0YoSzrC.jpg")</f>
        <v/>
      </c>
      <c r="C319" s="2" t="s">
        <v>2027</v>
      </c>
      <c r="D319" s="4">
        <v>37918.0</v>
      </c>
      <c r="E319" s="5">
        <v>2003.0</v>
      </c>
      <c r="F319" s="2" t="s">
        <v>21</v>
      </c>
      <c r="G319" s="6"/>
      <c r="H319" s="5">
        <v>4256.0</v>
      </c>
      <c r="I319" s="7">
        <v>5.965</v>
      </c>
      <c r="J319" s="2" t="s">
        <v>146</v>
      </c>
      <c r="K319" s="2" t="s">
        <v>2028</v>
      </c>
      <c r="L319" s="8" t="s">
        <v>2029</v>
      </c>
      <c r="M319" s="9">
        <v>84.0</v>
      </c>
      <c r="N319" s="2" t="s">
        <v>2030</v>
      </c>
      <c r="O319" s="2" t="s">
        <v>56</v>
      </c>
      <c r="P319" s="11">
        <v>3.0</v>
      </c>
      <c r="Q319" s="3"/>
      <c r="R319" s="8" t="s">
        <v>2031</v>
      </c>
      <c r="S319" s="2" t="s">
        <v>28</v>
      </c>
    </row>
    <row r="320" ht="67.5" customHeight="1">
      <c r="A320" s="2" t="s">
        <v>2032</v>
      </c>
      <c r="B320" s="3" t="str">
        <f>IMAGE("https://image.tmdb.org/t/p/w342/lr9ZIrmuwVmZhpZuTCW8D9g0ZJe.jpg")</f>
        <v/>
      </c>
      <c r="C320" s="2" t="s">
        <v>2033</v>
      </c>
      <c r="D320" s="4">
        <v>35419.0</v>
      </c>
      <c r="E320" s="5">
        <v>1996.0</v>
      </c>
      <c r="F320" s="2" t="s">
        <v>21</v>
      </c>
      <c r="G320" s="6"/>
      <c r="H320" s="5">
        <v>4232.0</v>
      </c>
      <c r="I320" s="7">
        <v>7.4</v>
      </c>
      <c r="J320" s="2" t="s">
        <v>2034</v>
      </c>
      <c r="K320" s="2" t="s">
        <v>2035</v>
      </c>
      <c r="L320" s="8" t="s">
        <v>2036</v>
      </c>
      <c r="M320" s="9">
        <v>112.0</v>
      </c>
      <c r="N320" s="2" t="s">
        <v>2037</v>
      </c>
      <c r="O320" s="2" t="s">
        <v>56</v>
      </c>
      <c r="P320" s="11">
        <v>4.0</v>
      </c>
      <c r="Q320" s="3"/>
      <c r="R320" s="8" t="s">
        <v>2038</v>
      </c>
      <c r="S320" s="2" t="s">
        <v>28</v>
      </c>
    </row>
    <row r="321" ht="67.5" customHeight="1">
      <c r="A321" s="2" t="s">
        <v>2039</v>
      </c>
      <c r="B321" s="3" t="str">
        <f>IMAGE("https://image.tmdb.org/t/p/w342/dORlVasiaDkJXTqt9bdH7nFNs6C.jpg")</f>
        <v/>
      </c>
      <c r="C321" s="2" t="s">
        <v>2040</v>
      </c>
      <c r="D321" s="4">
        <v>35776.0</v>
      </c>
      <c r="E321" s="5">
        <v>1997.0</v>
      </c>
      <c r="F321" s="2" t="s">
        <v>21</v>
      </c>
      <c r="G321" s="6"/>
      <c r="H321" s="5">
        <v>4233.0</v>
      </c>
      <c r="I321" s="7">
        <v>6.517</v>
      </c>
      <c r="J321" s="2" t="s">
        <v>73</v>
      </c>
      <c r="K321" s="2" t="s">
        <v>2041</v>
      </c>
      <c r="L321" s="8" t="s">
        <v>2042</v>
      </c>
      <c r="M321" s="9">
        <v>120.0</v>
      </c>
      <c r="N321" s="2" t="s">
        <v>2043</v>
      </c>
      <c r="O321" s="2" t="s">
        <v>56</v>
      </c>
      <c r="P321" s="11">
        <v>4.0</v>
      </c>
      <c r="Q321" s="3"/>
      <c r="R321" s="8" t="s">
        <v>2044</v>
      </c>
      <c r="S321" s="2" t="s">
        <v>28</v>
      </c>
    </row>
    <row r="322" ht="67.5" customHeight="1">
      <c r="A322" s="2" t="s">
        <v>2045</v>
      </c>
      <c r="B322" s="3" t="str">
        <f>IMAGE("https://image.tmdb.org/t/p/w342/qpH8ToZVlFD1bakL04LkEKodyDI.jpg")</f>
        <v/>
      </c>
      <c r="C322" s="2" t="s">
        <v>2046</v>
      </c>
      <c r="D322" s="4">
        <v>36560.0</v>
      </c>
      <c r="E322" s="5">
        <v>2000.0</v>
      </c>
      <c r="F322" s="2" t="s">
        <v>21</v>
      </c>
      <c r="G322" s="6"/>
      <c r="H322" s="5">
        <v>4234.0</v>
      </c>
      <c r="I322" s="7">
        <v>6.0</v>
      </c>
      <c r="J322" s="2" t="s">
        <v>73</v>
      </c>
      <c r="K322" s="2" t="s">
        <v>2047</v>
      </c>
      <c r="L322" s="8" t="s">
        <v>2048</v>
      </c>
      <c r="M322" s="9">
        <v>116.0</v>
      </c>
      <c r="N322" s="2" t="s">
        <v>2049</v>
      </c>
      <c r="O322" s="2" t="s">
        <v>56</v>
      </c>
      <c r="P322" s="11">
        <v>5.0</v>
      </c>
      <c r="Q322" s="3"/>
      <c r="R322" s="8" t="s">
        <v>2050</v>
      </c>
      <c r="S322" s="2" t="s">
        <v>28</v>
      </c>
    </row>
    <row r="323" ht="67.5" customHeight="1">
      <c r="A323" s="2" t="s">
        <v>2051</v>
      </c>
      <c r="B323" s="3" t="str">
        <f>IMAGE("https://image.tmdb.org/t/p/w342/g0YcSd5QpgGXOjg9tl0if0soOkE.jpg")</f>
        <v/>
      </c>
      <c r="C323" s="2" t="s">
        <v>2052</v>
      </c>
      <c r="D323" s="4">
        <v>40646.0</v>
      </c>
      <c r="E323" s="5">
        <v>2011.0</v>
      </c>
      <c r="F323" s="2" t="s">
        <v>21</v>
      </c>
      <c r="G323" s="6"/>
      <c r="H323" s="5">
        <v>41446.0</v>
      </c>
      <c r="I323" s="7">
        <v>6.483</v>
      </c>
      <c r="J323" s="2" t="s">
        <v>73</v>
      </c>
      <c r="K323" s="2" t="s">
        <v>2053</v>
      </c>
      <c r="L323" s="8" t="s">
        <v>2054</v>
      </c>
      <c r="M323" s="9">
        <v>111.0</v>
      </c>
      <c r="N323" s="2" t="s">
        <v>2055</v>
      </c>
      <c r="O323" s="2" t="s">
        <v>56</v>
      </c>
      <c r="P323" s="11">
        <v>3.0</v>
      </c>
      <c r="Q323" s="3"/>
      <c r="R323" s="8" t="s">
        <v>2056</v>
      </c>
      <c r="S323" s="2" t="s">
        <v>28</v>
      </c>
    </row>
    <row r="324" ht="67.5" customHeight="1">
      <c r="A324" s="2" t="s">
        <v>2057</v>
      </c>
      <c r="B324" s="3" t="str">
        <f>IMAGE("https://image.tmdb.org/t/p/w342/vd9K93gQ9whMKjXzADZanxWpIXM.jpg")</f>
        <v/>
      </c>
      <c r="C324" s="2" t="s">
        <v>2058</v>
      </c>
      <c r="D324" s="4">
        <v>38303.0</v>
      </c>
      <c r="E324" s="5">
        <v>2004.0</v>
      </c>
      <c r="F324" s="2" t="s">
        <v>21</v>
      </c>
      <c r="G324" s="6"/>
      <c r="H324" s="5">
        <v>11249.0</v>
      </c>
      <c r="I324" s="7">
        <v>5.5</v>
      </c>
      <c r="J324" s="2" t="s">
        <v>251</v>
      </c>
      <c r="K324" s="2" t="s">
        <v>2059</v>
      </c>
      <c r="L324" s="8" t="s">
        <v>2060</v>
      </c>
      <c r="M324" s="9">
        <v>86.0</v>
      </c>
      <c r="N324" s="2" t="s">
        <v>2061</v>
      </c>
      <c r="O324" s="2" t="s">
        <v>56</v>
      </c>
      <c r="P324" s="11">
        <v>4.0</v>
      </c>
      <c r="Q324" s="3"/>
      <c r="R324" s="8" t="s">
        <v>2062</v>
      </c>
      <c r="S324" s="2" t="s">
        <v>28</v>
      </c>
    </row>
    <row r="325" ht="67.5" customHeight="1">
      <c r="A325" s="2" t="s">
        <v>2063</v>
      </c>
      <c r="B325" s="3" t="str">
        <f>IMAGE("https://image.tmdb.org/t/p/w342/7KJrvJf96UpkXsWVOjzCo1IbnW6.jpg")</f>
        <v/>
      </c>
      <c r="C325" s="2" t="s">
        <v>2064</v>
      </c>
      <c r="D325" s="4">
        <v>39506.0</v>
      </c>
      <c r="E325" s="5">
        <v>2008.0</v>
      </c>
      <c r="F325" s="2" t="s">
        <v>21</v>
      </c>
      <c r="G325" s="6"/>
      <c r="H325" s="5">
        <v>13260.0</v>
      </c>
      <c r="I325" s="7">
        <v>5.642</v>
      </c>
      <c r="J325" s="2" t="s">
        <v>146</v>
      </c>
      <c r="K325" s="2" t="s">
        <v>2065</v>
      </c>
      <c r="L325" s="8" t="s">
        <v>2066</v>
      </c>
      <c r="M325" s="9">
        <v>91.0</v>
      </c>
      <c r="N325" s="2" t="s">
        <v>2067</v>
      </c>
      <c r="O325" s="2" t="s">
        <v>56</v>
      </c>
      <c r="P325" s="11">
        <v>1.0</v>
      </c>
      <c r="Q325" s="3"/>
      <c r="R325" s="8" t="s">
        <v>2068</v>
      </c>
      <c r="S325" s="2" t="s">
        <v>28</v>
      </c>
    </row>
    <row r="326" ht="67.5" customHeight="1">
      <c r="A326" s="2" t="s">
        <v>2069</v>
      </c>
      <c r="B326" s="3" t="str">
        <f>IMAGE("https://image.tmdb.org/t/p/w342/A3Au37c3KJX29BDvldzGiYtaU5B.jpg")</f>
        <v/>
      </c>
      <c r="C326" s="2" t="s">
        <v>2070</v>
      </c>
      <c r="D326" s="4">
        <v>37113.0</v>
      </c>
      <c r="E326" s="5">
        <v>2001.0</v>
      </c>
      <c r="F326" s="2" t="s">
        <v>21</v>
      </c>
      <c r="G326" s="6"/>
      <c r="H326" s="5">
        <v>10972.0</v>
      </c>
      <c r="I326" s="7">
        <v>6.129</v>
      </c>
      <c r="J326" s="2" t="s">
        <v>2071</v>
      </c>
      <c r="K326" s="2" t="s">
        <v>2072</v>
      </c>
      <c r="L326" s="8" t="s">
        <v>2073</v>
      </c>
      <c r="M326" s="9">
        <v>100.0</v>
      </c>
      <c r="N326" s="2" t="s">
        <v>2074</v>
      </c>
      <c r="O326" s="2" t="s">
        <v>56</v>
      </c>
      <c r="P326" s="11">
        <v>4.0</v>
      </c>
      <c r="Q326" s="3"/>
      <c r="R326" s="8" t="s">
        <v>2075</v>
      </c>
      <c r="S326" s="2" t="s">
        <v>28</v>
      </c>
    </row>
    <row r="327" ht="67.5" customHeight="1">
      <c r="A327" s="2" t="s">
        <v>2076</v>
      </c>
      <c r="B327" s="3" t="str">
        <f>IMAGE("https://image.tmdb.org/t/p/w342/e5ToxOyJwuZD4VOfI0qEn5uIjeJ.jpg")</f>
        <v/>
      </c>
      <c r="C327" s="2" t="s">
        <v>2077</v>
      </c>
      <c r="D327" s="4">
        <v>22201.0</v>
      </c>
      <c r="E327" s="5">
        <v>1995.0</v>
      </c>
      <c r="F327" s="2" t="s">
        <v>31</v>
      </c>
      <c r="G327" s="6"/>
      <c r="H327" s="5">
        <v>966.0</v>
      </c>
      <c r="I327" s="7">
        <v>7.507</v>
      </c>
      <c r="J327" s="2" t="s">
        <v>2078</v>
      </c>
      <c r="K327" s="2" t="s">
        <v>2079</v>
      </c>
      <c r="L327" s="8" t="s">
        <v>2080</v>
      </c>
      <c r="M327" s="9">
        <v>127.0</v>
      </c>
      <c r="N327" s="2" t="s">
        <v>2081</v>
      </c>
      <c r="O327" s="2" t="s">
        <v>26</v>
      </c>
      <c r="P327" s="10"/>
      <c r="Q327" s="3"/>
      <c r="R327" s="8" t="s">
        <v>2082</v>
      </c>
      <c r="S327" s="2" t="s">
        <v>28</v>
      </c>
    </row>
    <row r="328" ht="67.5" customHeight="1">
      <c r="A328" s="2" t="s">
        <v>2083</v>
      </c>
      <c r="B328" s="3" t="str">
        <f>IMAGE("https://image.tmdb.org/t/p/w342/dgXPhzNJH8HFTBjXPB177yNx6RI.jpg")</f>
        <v/>
      </c>
      <c r="C328" s="2" t="s">
        <v>2084</v>
      </c>
      <c r="D328" s="4">
        <v>38086.0</v>
      </c>
      <c r="E328" s="5">
        <v>2004.0</v>
      </c>
      <c r="F328" s="2" t="s">
        <v>21</v>
      </c>
      <c r="G328" s="6"/>
      <c r="H328" s="5">
        <v>747.0</v>
      </c>
      <c r="I328" s="7">
        <v>7.542</v>
      </c>
      <c r="J328" s="2" t="s">
        <v>251</v>
      </c>
      <c r="K328" s="2" t="s">
        <v>2085</v>
      </c>
      <c r="L328" s="8" t="s">
        <v>2086</v>
      </c>
      <c r="M328" s="9">
        <v>99.0</v>
      </c>
      <c r="N328" s="2" t="s">
        <v>2087</v>
      </c>
      <c r="O328" s="2" t="s">
        <v>56</v>
      </c>
      <c r="P328" s="11">
        <v>5.0</v>
      </c>
      <c r="Q328" s="3"/>
      <c r="R328" s="8" t="s">
        <v>2088</v>
      </c>
      <c r="S328" s="2" t="s">
        <v>28</v>
      </c>
    </row>
    <row r="329" ht="67.5" customHeight="1">
      <c r="A329" s="2" t="s">
        <v>2089</v>
      </c>
      <c r="B329" s="3" t="str">
        <f>IMAGE("https://image.tmdb.org/t/p/w342/uAR0AWqhQL1hQa69UDEbb2rE5Wx.jpg")</f>
        <v/>
      </c>
      <c r="C329" s="2" t="s">
        <v>2090</v>
      </c>
      <c r="D329" s="4">
        <v>29364.0</v>
      </c>
      <c r="E329" s="5">
        <v>1980.0</v>
      </c>
      <c r="F329" s="2" t="s">
        <v>21</v>
      </c>
      <c r="G329" s="6"/>
      <c r="H329" s="5">
        <v>694.0</v>
      </c>
      <c r="I329" s="7">
        <v>8.204</v>
      </c>
      <c r="J329" s="2" t="s">
        <v>39</v>
      </c>
      <c r="K329" s="2" t="s">
        <v>2091</v>
      </c>
      <c r="L329" s="8" t="s">
        <v>2092</v>
      </c>
      <c r="M329" s="9">
        <v>144.0</v>
      </c>
      <c r="N329" s="2" t="s">
        <v>2093</v>
      </c>
      <c r="O329" s="2" t="s">
        <v>26</v>
      </c>
      <c r="P329" s="10"/>
      <c r="Q329" s="3"/>
      <c r="R329" s="8" t="s">
        <v>2094</v>
      </c>
      <c r="S329" s="2" t="s">
        <v>28</v>
      </c>
    </row>
    <row r="330" ht="67.5" customHeight="1">
      <c r="A330" s="2" t="s">
        <v>2095</v>
      </c>
      <c r="B330" s="3" t="str">
        <f>IMAGE("https://image.tmdb.org/t/p/w342/pU4lcKfjf0U8pM036FHyoVGLev7.jpg")</f>
        <v/>
      </c>
      <c r="C330" s="2" t="s">
        <v>2096</v>
      </c>
      <c r="D330" s="4">
        <v>39310.0</v>
      </c>
      <c r="E330" s="5">
        <v>2007.0</v>
      </c>
      <c r="F330" s="2" t="s">
        <v>21</v>
      </c>
      <c r="G330" s="6"/>
      <c r="H330" s="5">
        <v>14456.0</v>
      </c>
      <c r="I330" s="7">
        <v>4.886</v>
      </c>
      <c r="J330" s="2" t="s">
        <v>73</v>
      </c>
      <c r="K330" s="2" t="s">
        <v>2097</v>
      </c>
      <c r="L330" s="8" t="s">
        <v>2098</v>
      </c>
      <c r="M330" s="9">
        <v>84.0</v>
      </c>
      <c r="N330" s="2" t="s">
        <v>2099</v>
      </c>
      <c r="O330" s="2" t="s">
        <v>26</v>
      </c>
      <c r="P330" s="10"/>
      <c r="Q330" s="3"/>
      <c r="R330" s="8" t="s">
        <v>2100</v>
      </c>
      <c r="S330" s="2" t="s">
        <v>28</v>
      </c>
    </row>
    <row r="331" ht="67.5" customHeight="1">
      <c r="A331" s="2" t="s">
        <v>2101</v>
      </c>
      <c r="B331" s="3" t="str">
        <f>IMAGE("https://image.tmdb.org/t/p/w342/nrmXQ0zcZUL8jFLrakWc90IR8z9.jpg")</f>
        <v/>
      </c>
      <c r="C331" s="2" t="s">
        <v>2102</v>
      </c>
      <c r="D331" s="4">
        <v>40223.0</v>
      </c>
      <c r="E331" s="5">
        <v>2010.0</v>
      </c>
      <c r="F331" s="2" t="s">
        <v>31</v>
      </c>
      <c r="G331" s="6"/>
      <c r="H331" s="5">
        <v>11324.0</v>
      </c>
      <c r="I331" s="7">
        <v>8.2</v>
      </c>
      <c r="J331" s="2" t="s">
        <v>662</v>
      </c>
      <c r="K331" s="2" t="s">
        <v>2103</v>
      </c>
      <c r="L331" s="8" t="s">
        <v>2104</v>
      </c>
      <c r="M331" s="9">
        <v>138.0</v>
      </c>
      <c r="N331" s="2" t="s">
        <v>2105</v>
      </c>
      <c r="O331" s="2" t="s">
        <v>56</v>
      </c>
      <c r="P331" s="11">
        <v>5.0</v>
      </c>
      <c r="Q331" s="3"/>
      <c r="R331" s="8" t="s">
        <v>2106</v>
      </c>
      <c r="S331" s="2" t="s">
        <v>28</v>
      </c>
    </row>
    <row r="332" ht="67.5" customHeight="1">
      <c r="A332" s="2" t="s">
        <v>2107</v>
      </c>
      <c r="B332" s="3" t="str">
        <f>IMAGE("https://image.tmdb.org/t/p/w342/uS9m8OBk1A8eM9I042bx8XXpqAq.jpg")</f>
        <v/>
      </c>
      <c r="C332" s="2" t="s">
        <v>2108</v>
      </c>
      <c r="D332" s="4">
        <v>33283.0</v>
      </c>
      <c r="E332" s="5">
        <v>1991.0</v>
      </c>
      <c r="F332" s="2" t="s">
        <v>31</v>
      </c>
      <c r="G332" s="6"/>
      <c r="H332" s="5">
        <v>274.0</v>
      </c>
      <c r="I332" s="7">
        <v>8.345</v>
      </c>
      <c r="J332" s="2" t="s">
        <v>1605</v>
      </c>
      <c r="K332" s="2" t="s">
        <v>2109</v>
      </c>
      <c r="L332" s="8" t="s">
        <v>2110</v>
      </c>
      <c r="M332" s="9">
        <v>119.0</v>
      </c>
      <c r="N332" s="2" t="s">
        <v>2111</v>
      </c>
      <c r="O332" s="2" t="s">
        <v>56</v>
      </c>
      <c r="P332" s="11">
        <v>5.0</v>
      </c>
      <c r="Q332" s="3"/>
      <c r="R332" s="8" t="s">
        <v>2112</v>
      </c>
      <c r="S332" s="2" t="s">
        <v>28</v>
      </c>
    </row>
    <row r="333" ht="67.5" customHeight="1">
      <c r="A333" s="2" t="s">
        <v>2113</v>
      </c>
      <c r="B333" s="3" t="str">
        <f>IMAGE("https://image.tmdb.org/t/p/w342/s3b8TZWwmkYc2KoJ5zk77qB6PzY.jpg")</f>
        <v/>
      </c>
      <c r="C333" s="2" t="s">
        <v>2114</v>
      </c>
      <c r="D333" s="4">
        <v>39288.0</v>
      </c>
      <c r="E333" s="5">
        <v>2007.0</v>
      </c>
      <c r="F333" s="2" t="s">
        <v>21</v>
      </c>
      <c r="G333" s="6"/>
      <c r="H333" s="5">
        <v>35.0</v>
      </c>
      <c r="I333" s="7">
        <v>7.022</v>
      </c>
      <c r="J333" s="2" t="s">
        <v>2115</v>
      </c>
      <c r="K333" s="2" t="s">
        <v>2116</v>
      </c>
      <c r="L333" s="8" t="s">
        <v>2117</v>
      </c>
      <c r="M333" s="9">
        <v>87.0</v>
      </c>
      <c r="N333" s="2" t="s">
        <v>2118</v>
      </c>
      <c r="O333" s="2" t="s">
        <v>56</v>
      </c>
      <c r="P333" s="11">
        <v>4.0</v>
      </c>
      <c r="Q333" s="3"/>
      <c r="R333" s="8" t="s">
        <v>2119</v>
      </c>
      <c r="S333" s="2" t="s">
        <v>28</v>
      </c>
    </row>
    <row r="334" ht="67.5" customHeight="1">
      <c r="A334" s="2" t="s">
        <v>2120</v>
      </c>
      <c r="B334" s="3" t="str">
        <f>IMAGE("https://image.tmdb.org/t/p/w342/nzx10sca3arCeYBAomHan4Q6wa1.jpg")</f>
        <v/>
      </c>
      <c r="C334" s="2" t="s">
        <v>2121</v>
      </c>
      <c r="D334" s="4">
        <v>40997.0</v>
      </c>
      <c r="E334" s="5">
        <v>2012.0</v>
      </c>
      <c r="F334" s="2" t="s">
        <v>21</v>
      </c>
      <c r="G334" s="6"/>
      <c r="H334" s="5">
        <v>82507.0</v>
      </c>
      <c r="I334" s="7">
        <v>6.876</v>
      </c>
      <c r="J334" s="2" t="s">
        <v>1029</v>
      </c>
      <c r="K334" s="2" t="s">
        <v>2122</v>
      </c>
      <c r="L334" s="8" t="s">
        <v>2123</v>
      </c>
      <c r="M334" s="9">
        <v>110.0</v>
      </c>
      <c r="N334" s="2" t="s">
        <v>2124</v>
      </c>
      <c r="O334" s="2" t="s">
        <v>56</v>
      </c>
      <c r="P334" s="11">
        <v>5.0</v>
      </c>
      <c r="Q334" s="3"/>
      <c r="R334" s="8" t="s">
        <v>2125</v>
      </c>
      <c r="S334" s="2" t="s">
        <v>28</v>
      </c>
    </row>
    <row r="335" ht="67.5" customHeight="1">
      <c r="A335" s="2" t="s">
        <v>2126</v>
      </c>
      <c r="B335" s="3" t="str">
        <f>IMAGE("https://image.tmdb.org/t/p/w342/hF6ORyihtAWHqKkIQI8BSpLQyON.jpg")</f>
        <v/>
      </c>
      <c r="C335" s="2" t="s">
        <v>2127</v>
      </c>
      <c r="D335" s="4">
        <v>42235.0</v>
      </c>
      <c r="E335" s="5">
        <v>2015.0</v>
      </c>
      <c r="F335" s="2" t="s">
        <v>21</v>
      </c>
      <c r="G335" s="6"/>
      <c r="H335" s="5">
        <v>283445.0</v>
      </c>
      <c r="I335" s="7">
        <v>5.891</v>
      </c>
      <c r="J335" s="2" t="s">
        <v>93</v>
      </c>
      <c r="K335" s="2" t="s">
        <v>2128</v>
      </c>
      <c r="L335" s="8" t="s">
        <v>2129</v>
      </c>
      <c r="M335" s="9">
        <v>97.0</v>
      </c>
      <c r="N335" s="2" t="s">
        <v>2130</v>
      </c>
      <c r="O335" s="2" t="s">
        <v>56</v>
      </c>
      <c r="P335" s="11">
        <v>3.0</v>
      </c>
      <c r="Q335" s="3"/>
      <c r="R335" s="8" t="s">
        <v>2131</v>
      </c>
      <c r="S335" s="2" t="s">
        <v>28</v>
      </c>
    </row>
    <row r="336" ht="67.5" customHeight="1">
      <c r="A336" s="2" t="s">
        <v>2132</v>
      </c>
      <c r="B336" s="3" t="str">
        <f>IMAGE("https://image.tmdb.org/t/p/w342/oucvKATkCI77ngtPjxAI9SAZW42.jpg")</f>
        <v/>
      </c>
      <c r="C336" s="2" t="s">
        <v>2133</v>
      </c>
      <c r="D336" s="4">
        <v>45763.0</v>
      </c>
      <c r="E336" s="5">
        <v>2025.0</v>
      </c>
      <c r="F336" s="2" t="s">
        <v>31</v>
      </c>
      <c r="G336" s="6"/>
      <c r="H336" s="5">
        <v>1233413.0</v>
      </c>
      <c r="I336" s="7">
        <v>7.489</v>
      </c>
      <c r="J336" s="2" t="s">
        <v>1824</v>
      </c>
      <c r="K336" s="2" t="s">
        <v>2134</v>
      </c>
      <c r="L336" s="8" t="s">
        <v>2135</v>
      </c>
      <c r="M336" s="9">
        <v>138.0</v>
      </c>
      <c r="N336" s="2" t="s">
        <v>2136</v>
      </c>
      <c r="O336" s="2" t="s">
        <v>56</v>
      </c>
      <c r="P336" s="11">
        <v>4.0</v>
      </c>
      <c r="Q336" s="3"/>
      <c r="R336" s="8" t="s">
        <v>2137</v>
      </c>
      <c r="S336" s="2" t="s">
        <v>28</v>
      </c>
    </row>
    <row r="337" ht="67.5" customHeight="1">
      <c r="A337" s="2" t="s">
        <v>2138</v>
      </c>
      <c r="B337" s="3" t="str">
        <f>IMAGE("https://image.tmdb.org/t/p/w342/aPqcQwu4VGEewPhagWNncDbJ9Xp.jpg")</f>
        <v/>
      </c>
      <c r="C337" s="2" t="s">
        <v>2139</v>
      </c>
      <c r="D337" s="4">
        <v>44827.0</v>
      </c>
      <c r="E337" s="5">
        <v>2022.0</v>
      </c>
      <c r="F337" s="2" t="s">
        <v>21</v>
      </c>
      <c r="G337" s="6"/>
      <c r="H337" s="5">
        <v>882598.0</v>
      </c>
      <c r="I337" s="7">
        <v>6.672</v>
      </c>
      <c r="J337" s="2" t="s">
        <v>73</v>
      </c>
      <c r="K337" s="2" t="s">
        <v>2140</v>
      </c>
      <c r="L337" s="8" t="s">
        <v>2141</v>
      </c>
      <c r="M337" s="9">
        <v>115.0</v>
      </c>
      <c r="N337" s="2" t="s">
        <v>2142</v>
      </c>
      <c r="O337" s="2" t="s">
        <v>56</v>
      </c>
      <c r="P337" s="11">
        <v>4.0</v>
      </c>
      <c r="Q337" s="3"/>
      <c r="R337" s="8" t="s">
        <v>2143</v>
      </c>
      <c r="S337" s="2" t="s">
        <v>28</v>
      </c>
    </row>
    <row r="338" ht="67.5" customHeight="1">
      <c r="A338" s="2" t="s">
        <v>2144</v>
      </c>
      <c r="B338" s="3" t="str">
        <f>IMAGE("https://image.tmdb.org/t/p/w342/aQvJ5WPzZgYVDrxLX4R6cLJCEaQ.jpg")</f>
        <v/>
      </c>
      <c r="C338" s="2" t="s">
        <v>2145</v>
      </c>
      <c r="D338" s="4">
        <v>43873.0</v>
      </c>
      <c r="E338" s="5">
        <v>2020.0</v>
      </c>
      <c r="F338" s="2" t="s">
        <v>31</v>
      </c>
      <c r="G338" s="6"/>
      <c r="H338" s="5">
        <v>454626.0</v>
      </c>
      <c r="I338" s="7">
        <v>7.3</v>
      </c>
      <c r="J338" s="2" t="s">
        <v>2146</v>
      </c>
      <c r="K338" s="2" t="s">
        <v>2147</v>
      </c>
      <c r="L338" s="8" t="s">
        <v>2148</v>
      </c>
      <c r="M338" s="9">
        <v>99.0</v>
      </c>
      <c r="N338" s="2" t="s">
        <v>2149</v>
      </c>
      <c r="O338" s="2" t="s">
        <v>56</v>
      </c>
      <c r="P338" s="11">
        <v>4.0</v>
      </c>
      <c r="Q338" s="3"/>
      <c r="R338" s="8" t="s">
        <v>2150</v>
      </c>
      <c r="S338" s="2" t="s">
        <v>28</v>
      </c>
    </row>
    <row r="339" ht="67.5" customHeight="1">
      <c r="A339" s="2" t="s">
        <v>2151</v>
      </c>
      <c r="B339" s="3" t="str">
        <f>IMAGE("https://image.tmdb.org/t/p/w342/b5pIUsGll0418NyfNA5eYCI9aoK.jpg")</f>
        <v/>
      </c>
      <c r="C339" s="2" t="s">
        <v>2152</v>
      </c>
      <c r="D339" s="4">
        <v>40372.0</v>
      </c>
      <c r="E339" s="5">
        <v>2010.0</v>
      </c>
      <c r="F339" s="2" t="s">
        <v>21</v>
      </c>
      <c r="G339" s="6"/>
      <c r="H339" s="5">
        <v>27022.0</v>
      </c>
      <c r="I339" s="7">
        <v>6.1</v>
      </c>
      <c r="J339" s="2" t="s">
        <v>1068</v>
      </c>
      <c r="K339" s="2" t="s">
        <v>2153</v>
      </c>
      <c r="L339" s="8" t="s">
        <v>2154</v>
      </c>
      <c r="M339" s="9">
        <v>109.0</v>
      </c>
      <c r="N339" s="2" t="s">
        <v>2155</v>
      </c>
      <c r="O339" s="2" t="s">
        <v>56</v>
      </c>
      <c r="P339" s="11">
        <v>3.0</v>
      </c>
      <c r="Q339" s="3"/>
      <c r="R339" s="8" t="s">
        <v>2156</v>
      </c>
      <c r="S339" s="2" t="s">
        <v>28</v>
      </c>
    </row>
    <row r="340" ht="67.5" customHeight="1">
      <c r="A340" s="2" t="s">
        <v>2157</v>
      </c>
      <c r="B340" s="3" t="str">
        <f>IMAGE("https://image.tmdb.org/t/p/w342/tS0PedvA2mFO9VCHYwQpaU1K36U.jpg")</f>
        <v/>
      </c>
      <c r="C340" s="2" t="s">
        <v>2158</v>
      </c>
      <c r="D340" s="4">
        <v>36335.0</v>
      </c>
      <c r="E340" s="5">
        <v>1999.0</v>
      </c>
      <c r="F340" s="2" t="s">
        <v>21</v>
      </c>
      <c r="G340" s="6"/>
      <c r="H340" s="5">
        <v>9473.0</v>
      </c>
      <c r="I340" s="7">
        <v>7.282</v>
      </c>
      <c r="J340" s="2" t="s">
        <v>2159</v>
      </c>
      <c r="K340" s="2" t="s">
        <v>2160</v>
      </c>
      <c r="L340" s="8" t="s">
        <v>2161</v>
      </c>
      <c r="M340" s="9">
        <v>81.0</v>
      </c>
      <c r="N340" s="2" t="s">
        <v>2162</v>
      </c>
      <c r="O340" s="2" t="s">
        <v>56</v>
      </c>
      <c r="P340" s="11">
        <v>4.0</v>
      </c>
      <c r="Q340" s="3"/>
      <c r="R340" s="8" t="s">
        <v>2163</v>
      </c>
      <c r="S340" s="2" t="s">
        <v>28</v>
      </c>
    </row>
    <row r="341" ht="67.5" customHeight="1">
      <c r="A341" s="2" t="s">
        <v>2164</v>
      </c>
      <c r="B341" s="3" t="str">
        <f>IMAGE("https://image.tmdb.org/t/p/w342/kNbaxEsnCyWBTfANVPHayujBsxp.jpg")</f>
        <v/>
      </c>
      <c r="C341" s="2" t="s">
        <v>2165</v>
      </c>
      <c r="D341" s="4">
        <v>31952.0</v>
      </c>
      <c r="E341" s="5">
        <v>1987.0</v>
      </c>
      <c r="F341" s="2" t="s">
        <v>21</v>
      </c>
      <c r="G341" s="6"/>
      <c r="H341" s="5">
        <v>957.0</v>
      </c>
      <c r="I341" s="7">
        <v>6.867</v>
      </c>
      <c r="J341" s="2" t="s">
        <v>2166</v>
      </c>
      <c r="K341" s="2" t="s">
        <v>2167</v>
      </c>
      <c r="L341" s="8" t="s">
        <v>2168</v>
      </c>
      <c r="M341" s="9">
        <v>96.0</v>
      </c>
      <c r="N341" s="2" t="s">
        <v>2169</v>
      </c>
      <c r="O341" s="2" t="s">
        <v>56</v>
      </c>
      <c r="P341" s="11">
        <v>5.0</v>
      </c>
      <c r="Q341" s="3"/>
      <c r="R341" s="8" t="s">
        <v>2170</v>
      </c>
      <c r="S341" s="2" t="s">
        <v>28</v>
      </c>
    </row>
    <row r="342" ht="67.5" customHeight="1">
      <c r="A342" s="2" t="s">
        <v>2171</v>
      </c>
      <c r="B342" s="3" t="str">
        <f>IMAGE("https://image.tmdb.org/t/p/w342/kjdJntyBeEvqm9w97QGBdxPptzj.jpg")</f>
        <v/>
      </c>
      <c r="C342" s="2" t="s">
        <v>2172</v>
      </c>
      <c r="D342" s="4">
        <v>37377.0</v>
      </c>
      <c r="E342" s="5">
        <v>2002.0</v>
      </c>
      <c r="F342" s="2" t="s">
        <v>31</v>
      </c>
      <c r="G342" s="6"/>
      <c r="H342" s="5">
        <v>557.0</v>
      </c>
      <c r="I342" s="7">
        <v>7.329</v>
      </c>
      <c r="J342" s="2" t="s">
        <v>1486</v>
      </c>
      <c r="K342" s="2" t="s">
        <v>2173</v>
      </c>
      <c r="L342" s="8" t="s">
        <v>2174</v>
      </c>
      <c r="M342" s="9">
        <v>121.0</v>
      </c>
      <c r="N342" s="2" t="s">
        <v>2175</v>
      </c>
      <c r="O342" s="2" t="s">
        <v>56</v>
      </c>
      <c r="P342" s="11">
        <v>5.0</v>
      </c>
      <c r="Q342" s="3"/>
      <c r="R342" s="8" t="s">
        <v>2176</v>
      </c>
      <c r="S342" s="2" t="s">
        <v>28</v>
      </c>
    </row>
    <row r="343" ht="67.5" customHeight="1">
      <c r="A343" s="2" t="s">
        <v>2177</v>
      </c>
      <c r="B343" s="3" t="str">
        <f>IMAGE("https://image.tmdb.org/t/p/w342/aGuvNAaaZuWXYQQ6N2v7DeuP6mB.jpg")</f>
        <v/>
      </c>
      <c r="C343" s="2" t="s">
        <v>2178</v>
      </c>
      <c r="D343" s="4">
        <v>38163.0</v>
      </c>
      <c r="E343" s="5">
        <v>2004.0</v>
      </c>
      <c r="F343" s="2" t="s">
        <v>31</v>
      </c>
      <c r="G343" s="6"/>
      <c r="H343" s="5">
        <v>558.0</v>
      </c>
      <c r="I343" s="7">
        <v>7.3</v>
      </c>
      <c r="J343" s="2" t="s">
        <v>1177</v>
      </c>
      <c r="K343" s="2" t="s">
        <v>2179</v>
      </c>
      <c r="L343" s="8" t="s">
        <v>2180</v>
      </c>
      <c r="M343" s="9">
        <v>127.0</v>
      </c>
      <c r="N343" s="2" t="s">
        <v>2181</v>
      </c>
      <c r="O343" s="2" t="s">
        <v>56</v>
      </c>
      <c r="P343" s="11">
        <v>4.0</v>
      </c>
      <c r="Q343" s="3"/>
      <c r="R343" s="8" t="s">
        <v>2182</v>
      </c>
      <c r="S343" s="2" t="s">
        <v>28</v>
      </c>
    </row>
    <row r="344" ht="67.5" customHeight="1">
      <c r="A344" s="2" t="s">
        <v>2183</v>
      </c>
      <c r="B344" s="3" t="str">
        <f>IMAGE("https://image.tmdb.org/t/p/w342/qFmwhVUoUSXjkKRmca5yGDEXBIj.jpg")</f>
        <v/>
      </c>
      <c r="C344" s="2" t="s">
        <v>2184</v>
      </c>
      <c r="D344" s="4">
        <v>39203.0</v>
      </c>
      <c r="E344" s="5">
        <v>2007.0</v>
      </c>
      <c r="F344" s="2" t="s">
        <v>31</v>
      </c>
      <c r="G344" s="6"/>
      <c r="H344" s="5">
        <v>559.0</v>
      </c>
      <c r="I344" s="7">
        <v>6.46</v>
      </c>
      <c r="J344" s="2" t="s">
        <v>1177</v>
      </c>
      <c r="K344" s="2" t="s">
        <v>2185</v>
      </c>
      <c r="L344" s="8" t="s">
        <v>2186</v>
      </c>
      <c r="M344" s="9">
        <v>139.0</v>
      </c>
      <c r="N344" s="2" t="s">
        <v>2187</v>
      </c>
      <c r="O344" s="2" t="s">
        <v>56</v>
      </c>
      <c r="P344" s="11">
        <v>5.0</v>
      </c>
      <c r="Q344" s="3"/>
      <c r="R344" s="8" t="s">
        <v>2188</v>
      </c>
      <c r="S344" s="2" t="s">
        <v>28</v>
      </c>
    </row>
    <row r="345" ht="67.5" customHeight="1">
      <c r="A345" s="2" t="s">
        <v>2189</v>
      </c>
      <c r="B345" s="3" t="str">
        <f>IMAGE("https://image.tmdb.org/t/p/w342/qDlmKahejt0NoQzw65tnLayEhHZ.jpg")</f>
        <v/>
      </c>
      <c r="C345" s="2" t="s">
        <v>2190</v>
      </c>
      <c r="D345" s="4">
        <v>40109.0</v>
      </c>
      <c r="E345" s="5">
        <v>2009.0</v>
      </c>
      <c r="F345" s="2" t="s">
        <v>21</v>
      </c>
      <c r="G345" s="6"/>
      <c r="H345" s="5">
        <v>23988.0</v>
      </c>
      <c r="I345" s="7">
        <v>4.216</v>
      </c>
      <c r="J345" s="2" t="s">
        <v>265</v>
      </c>
      <c r="K345" s="2" t="s">
        <v>2191</v>
      </c>
      <c r="L345" s="8" t="s">
        <v>2192</v>
      </c>
      <c r="M345" s="9">
        <v>90.0</v>
      </c>
      <c r="N345" s="2" t="s">
        <v>2193</v>
      </c>
      <c r="O345" s="2" t="s">
        <v>56</v>
      </c>
      <c r="P345" s="11">
        <v>3.0</v>
      </c>
      <c r="Q345" s="3"/>
      <c r="R345" s="8" t="s">
        <v>2194</v>
      </c>
      <c r="S345" s="2" t="s">
        <v>28</v>
      </c>
    </row>
    <row r="346" ht="67.5" customHeight="1">
      <c r="A346" s="2" t="s">
        <v>2195</v>
      </c>
      <c r="B346" s="3" t="str">
        <f>IMAGE("https://image.tmdb.org/t/p/w342/6wkfovpn7Eq8dYNKaG5PY3q2oq6.jpg")</f>
        <v/>
      </c>
      <c r="C346" s="2" t="s">
        <v>2196</v>
      </c>
      <c r="D346" s="4">
        <v>36299.0</v>
      </c>
      <c r="E346" s="5">
        <v>1999.0</v>
      </c>
      <c r="F346" s="2" t="s">
        <v>21</v>
      </c>
      <c r="G346" s="6"/>
      <c r="H346" s="5">
        <v>1893.0</v>
      </c>
      <c r="I346" s="7">
        <v>6.6</v>
      </c>
      <c r="J346" s="2" t="s">
        <v>1452</v>
      </c>
      <c r="K346" s="2" t="s">
        <v>2197</v>
      </c>
      <c r="L346" s="8" t="s">
        <v>2198</v>
      </c>
      <c r="M346" s="9">
        <v>136.0</v>
      </c>
      <c r="N346" s="2" t="s">
        <v>2199</v>
      </c>
      <c r="O346" s="2" t="s">
        <v>56</v>
      </c>
      <c r="P346" s="11">
        <v>4.0</v>
      </c>
      <c r="Q346" s="3"/>
      <c r="R346" s="8" t="s">
        <v>2200</v>
      </c>
      <c r="S346" s="2" t="s">
        <v>28</v>
      </c>
    </row>
    <row r="347" ht="67.5" customHeight="1">
      <c r="A347" s="2" t="s">
        <v>2201</v>
      </c>
      <c r="B347" s="3" t="str">
        <f>IMAGE("https://image.tmdb.org/t/p/w342/oZNPzxqM2s5DyVWab09NTQScDQt.jpg")</f>
        <v/>
      </c>
      <c r="C347" s="2" t="s">
        <v>2202</v>
      </c>
      <c r="D347" s="4">
        <v>37391.0</v>
      </c>
      <c r="E347" s="5">
        <v>2002.0</v>
      </c>
      <c r="F347" s="2" t="s">
        <v>21</v>
      </c>
      <c r="G347" s="6"/>
      <c r="H347" s="5">
        <v>1894.0</v>
      </c>
      <c r="I347" s="7">
        <v>6.593</v>
      </c>
      <c r="J347" s="2" t="s">
        <v>1452</v>
      </c>
      <c r="K347" s="2" t="s">
        <v>2203</v>
      </c>
      <c r="L347" s="8" t="s">
        <v>2204</v>
      </c>
      <c r="M347" s="9">
        <v>142.0</v>
      </c>
      <c r="N347" s="2" t="s">
        <v>2205</v>
      </c>
      <c r="O347" s="2" t="s">
        <v>56</v>
      </c>
      <c r="P347" s="11">
        <v>4.0</v>
      </c>
      <c r="Q347" s="3"/>
      <c r="R347" s="8" t="s">
        <v>2206</v>
      </c>
      <c r="S347" s="2" t="s">
        <v>28</v>
      </c>
    </row>
    <row r="348" ht="67.5" customHeight="1">
      <c r="A348" s="2" t="s">
        <v>2207</v>
      </c>
      <c r="B348" s="3" t="str">
        <f>IMAGE("https://image.tmdb.org/t/p/w342/xfSAoBEm9MNBjmlNcDYLvLSMlnq.jpg")</f>
        <v/>
      </c>
      <c r="C348" s="2" t="s">
        <v>2208</v>
      </c>
      <c r="D348" s="4">
        <v>38489.0</v>
      </c>
      <c r="E348" s="5">
        <v>2005.0</v>
      </c>
      <c r="F348" s="2" t="s">
        <v>21</v>
      </c>
      <c r="G348" s="6"/>
      <c r="H348" s="5">
        <v>1895.0</v>
      </c>
      <c r="I348" s="7">
        <v>7.467</v>
      </c>
      <c r="J348" s="2" t="s">
        <v>1452</v>
      </c>
      <c r="K348" s="2" t="s">
        <v>2209</v>
      </c>
      <c r="L348" s="8" t="s">
        <v>2210</v>
      </c>
      <c r="M348" s="9">
        <v>140.0</v>
      </c>
      <c r="N348" s="2" t="s">
        <v>2211</v>
      </c>
      <c r="O348" s="2" t="s">
        <v>56</v>
      </c>
      <c r="P348" s="11">
        <v>5.0</v>
      </c>
      <c r="Q348" s="3"/>
      <c r="R348" s="8" t="s">
        <v>2212</v>
      </c>
      <c r="S348" s="2" t="s">
        <v>28</v>
      </c>
    </row>
    <row r="349" ht="67.5" customHeight="1">
      <c r="A349" s="2" t="s">
        <v>2213</v>
      </c>
      <c r="B349" s="3" t="str">
        <f>IMAGE("https://image.tmdb.org/t/p/w342/6FfCtAuVAW8XJjZ7eWeLibRLWTw.jpg")</f>
        <v/>
      </c>
      <c r="C349" s="2" t="s">
        <v>2214</v>
      </c>
      <c r="D349" s="4">
        <v>28270.0</v>
      </c>
      <c r="E349" s="5">
        <v>1977.0</v>
      </c>
      <c r="F349" s="2" t="s">
        <v>21</v>
      </c>
      <c r="G349" s="6"/>
      <c r="H349" s="5">
        <v>11.0</v>
      </c>
      <c r="I349" s="7">
        <v>8.205</v>
      </c>
      <c r="J349" s="2" t="s">
        <v>1452</v>
      </c>
      <c r="K349" s="2" t="s">
        <v>2215</v>
      </c>
      <c r="L349" s="8" t="s">
        <v>2216</v>
      </c>
      <c r="M349" s="9">
        <v>121.0</v>
      </c>
      <c r="N349" s="2" t="s">
        <v>2217</v>
      </c>
      <c r="O349" s="2" t="s">
        <v>56</v>
      </c>
      <c r="P349" s="11">
        <v>4.0</v>
      </c>
      <c r="Q349" s="3"/>
      <c r="R349" s="8" t="s">
        <v>2218</v>
      </c>
      <c r="S349" s="2" t="s">
        <v>28</v>
      </c>
    </row>
    <row r="350" ht="67.5" customHeight="1">
      <c r="A350" s="2" t="s">
        <v>2219</v>
      </c>
      <c r="B350" s="3" t="str">
        <f>IMAGE("https://image.tmdb.org/t/p/w342/nNAeTmF4CtdSgMDplXTDPOpYzsX.jpg")</f>
        <v/>
      </c>
      <c r="C350" s="2" t="s">
        <v>2220</v>
      </c>
      <c r="D350" s="4">
        <v>29361.0</v>
      </c>
      <c r="E350" s="5">
        <v>1980.0</v>
      </c>
      <c r="F350" s="2" t="s">
        <v>21</v>
      </c>
      <c r="G350" s="6"/>
      <c r="H350" s="5">
        <v>1891.0</v>
      </c>
      <c r="I350" s="7">
        <v>8.393</v>
      </c>
      <c r="J350" s="2" t="s">
        <v>1452</v>
      </c>
      <c r="K350" s="2" t="s">
        <v>2221</v>
      </c>
      <c r="L350" s="8" t="s">
        <v>2222</v>
      </c>
      <c r="M350" s="9">
        <v>124.0</v>
      </c>
      <c r="N350" s="2" t="s">
        <v>2223</v>
      </c>
      <c r="O350" s="2" t="s">
        <v>56</v>
      </c>
      <c r="P350" s="11">
        <v>4.0</v>
      </c>
      <c r="Q350" s="3"/>
      <c r="R350" s="8" t="s">
        <v>2224</v>
      </c>
      <c r="S350" s="2" t="s">
        <v>28</v>
      </c>
    </row>
    <row r="351" ht="67.5" customHeight="1">
      <c r="A351" s="2" t="s">
        <v>2225</v>
      </c>
      <c r="B351" s="3" t="str">
        <f>IMAGE("https://image.tmdb.org/t/p/w342/jQYlydvHm3kUix1f8prMucrplhm.jpg")</f>
        <v/>
      </c>
      <c r="C351" s="2" t="s">
        <v>2226</v>
      </c>
      <c r="D351" s="4">
        <v>30461.0</v>
      </c>
      <c r="E351" s="5">
        <v>1983.0</v>
      </c>
      <c r="F351" s="2" t="s">
        <v>21</v>
      </c>
      <c r="G351" s="6"/>
      <c r="H351" s="5">
        <v>1892.0</v>
      </c>
      <c r="I351" s="7">
        <v>7.908</v>
      </c>
      <c r="J351" s="2" t="s">
        <v>1452</v>
      </c>
      <c r="K351" s="2" t="s">
        <v>2227</v>
      </c>
      <c r="L351" s="8" t="s">
        <v>2228</v>
      </c>
      <c r="M351" s="9">
        <v>132.0</v>
      </c>
      <c r="N351" s="2" t="s">
        <v>2229</v>
      </c>
      <c r="O351" s="2" t="s">
        <v>56</v>
      </c>
      <c r="P351" s="11">
        <v>4.0</v>
      </c>
      <c r="Q351" s="3"/>
      <c r="R351" s="8" t="s">
        <v>2230</v>
      </c>
      <c r="S351" s="2" t="s">
        <v>28</v>
      </c>
    </row>
    <row r="352" ht="67.5" customHeight="1">
      <c r="A352" s="2" t="s">
        <v>2231</v>
      </c>
      <c r="B352" s="3" t="str">
        <f>IMAGE("https://image.tmdb.org/t/p/w342/gwsg4qFmLOvlhwXj4OZuxfFUdP0.jpg")</f>
        <v/>
      </c>
      <c r="C352" s="2" t="s">
        <v>2232</v>
      </c>
      <c r="D352" s="4">
        <v>39597.0</v>
      </c>
      <c r="E352" s="5">
        <v>2008.0</v>
      </c>
      <c r="F352" s="2" t="s">
        <v>21</v>
      </c>
      <c r="G352" s="6"/>
      <c r="H352" s="5">
        <v>10665.0</v>
      </c>
      <c r="I352" s="7">
        <v>6.123</v>
      </c>
      <c r="J352" s="2" t="s">
        <v>93</v>
      </c>
      <c r="K352" s="2" t="s">
        <v>2233</v>
      </c>
      <c r="L352" s="8" t="s">
        <v>2234</v>
      </c>
      <c r="M352" s="9">
        <v>86.0</v>
      </c>
      <c r="N352" s="2" t="s">
        <v>2235</v>
      </c>
      <c r="O352" s="2" t="s">
        <v>56</v>
      </c>
      <c r="P352" s="11">
        <v>5.0</v>
      </c>
      <c r="Q352" s="3"/>
      <c r="R352" s="8" t="s">
        <v>2236</v>
      </c>
      <c r="S352" s="2" t="s">
        <v>28</v>
      </c>
    </row>
    <row r="353" ht="67.5" customHeight="1">
      <c r="A353" s="2" t="s">
        <v>2237</v>
      </c>
      <c r="B353" s="3" t="str">
        <f>IMAGE("https://image.tmdb.org/t/p/w342/lqoMzCcZYEFK729d6qzt349fB4o.jpg")</f>
        <v/>
      </c>
      <c r="C353" s="2" t="s">
        <v>2238</v>
      </c>
      <c r="D353" s="4">
        <v>45542.0</v>
      </c>
      <c r="E353" s="5">
        <v>2024.0</v>
      </c>
      <c r="F353" s="2" t="s">
        <v>21</v>
      </c>
      <c r="G353" s="6"/>
      <c r="H353" s="5">
        <v>933260.0</v>
      </c>
      <c r="I353" s="7">
        <v>7.135</v>
      </c>
      <c r="J353" s="2" t="s">
        <v>402</v>
      </c>
      <c r="K353" s="2" t="s">
        <v>2239</v>
      </c>
      <c r="L353" s="8" t="s">
        <v>2240</v>
      </c>
      <c r="M353" s="9">
        <v>141.0</v>
      </c>
      <c r="N353" s="2" t="s">
        <v>2241</v>
      </c>
      <c r="O353" s="2" t="s">
        <v>26</v>
      </c>
      <c r="P353" s="10"/>
      <c r="Q353" s="3"/>
      <c r="R353" s="8" t="s">
        <v>2242</v>
      </c>
      <c r="S353" s="2" t="s">
        <v>28</v>
      </c>
    </row>
    <row r="354" ht="67.5" customHeight="1">
      <c r="A354" s="2" t="s">
        <v>2243</v>
      </c>
      <c r="B354" s="3" t="str">
        <f>IMAGE("https://image.tmdb.org/t/p/w342/zastd8zM2ftOJpC7Y6gRFqAB7r.jpg")</f>
        <v/>
      </c>
      <c r="C354" s="2" t="s">
        <v>2244</v>
      </c>
      <c r="D354" s="4">
        <v>43322.0</v>
      </c>
      <c r="E354" s="5">
        <v>2018.0</v>
      </c>
      <c r="F354" s="2" t="s">
        <v>21</v>
      </c>
      <c r="G354" s="6"/>
      <c r="H354" s="5">
        <v>470229.0</v>
      </c>
      <c r="I354" s="7">
        <v>6.9</v>
      </c>
      <c r="J354" s="2" t="s">
        <v>2245</v>
      </c>
      <c r="K354" s="2" t="s">
        <v>2246</v>
      </c>
      <c r="L354" s="8" t="s">
        <v>2247</v>
      </c>
      <c r="M354" s="9">
        <v>106.0</v>
      </c>
      <c r="N354" s="2" t="s">
        <v>2248</v>
      </c>
      <c r="O354" s="2" t="s">
        <v>56</v>
      </c>
      <c r="P354" s="11">
        <v>5.0</v>
      </c>
      <c r="Q354" s="3"/>
      <c r="R354" s="8" t="s">
        <v>2249</v>
      </c>
      <c r="S354" s="2" t="s">
        <v>28</v>
      </c>
    </row>
    <row r="355" ht="67.5" customHeight="1">
      <c r="A355" s="2" t="s">
        <v>2250</v>
      </c>
      <c r="B355" s="3" t="str">
        <f>IMAGE("https://image.tmdb.org/t/p/w342/pUWIjaMMYJjeBm5bJyE3mIXdQ62.jpg")</f>
        <v/>
      </c>
      <c r="C355" s="2" t="s">
        <v>2251</v>
      </c>
      <c r="D355" s="4">
        <v>40703.0</v>
      </c>
      <c r="E355" s="5">
        <v>2011.0</v>
      </c>
      <c r="F355" s="2" t="s">
        <v>21</v>
      </c>
      <c r="G355" s="6"/>
      <c r="H355" s="5">
        <v>37686.0</v>
      </c>
      <c r="I355" s="7">
        <v>6.776</v>
      </c>
      <c r="J355" s="2" t="s">
        <v>2252</v>
      </c>
      <c r="K355" s="2" t="s">
        <v>2253</v>
      </c>
      <c r="L355" s="8" t="s">
        <v>2254</v>
      </c>
      <c r="M355" s="9">
        <v>112.0</v>
      </c>
      <c r="N355" s="2" t="s">
        <v>2255</v>
      </c>
      <c r="O355" s="2" t="s">
        <v>56</v>
      </c>
      <c r="P355" s="11">
        <v>4.0</v>
      </c>
      <c r="Q355" s="3"/>
      <c r="R355" s="8" t="s">
        <v>2256</v>
      </c>
      <c r="S355" s="2" t="s">
        <v>28</v>
      </c>
    </row>
    <row r="356" ht="67.5" customHeight="1">
      <c r="A356" s="2" t="s">
        <v>2257</v>
      </c>
      <c r="B356" s="3" t="str">
        <f>IMAGE("https://image.tmdb.org/t/p/w342/eJGWx219ZcEMVQJhAgMiqo8tYY.jpg")</f>
        <v/>
      </c>
      <c r="C356" s="2" t="s">
        <v>2258</v>
      </c>
      <c r="D356" s="4">
        <v>46113.0</v>
      </c>
      <c r="E356" s="5">
        <v>2026.0</v>
      </c>
      <c r="F356" s="2" t="s">
        <v>31</v>
      </c>
      <c r="G356" s="6"/>
      <c r="H356" s="5">
        <v>1226863.0</v>
      </c>
      <c r="I356" s="7">
        <v>8.019</v>
      </c>
      <c r="J356" s="2" t="s">
        <v>2259</v>
      </c>
      <c r="K356" s="2" t="s">
        <v>2260</v>
      </c>
      <c r="L356" s="8" t="s">
        <v>2261</v>
      </c>
      <c r="M356" s="9">
        <v>98.0</v>
      </c>
      <c r="N356" s="2" t="s">
        <v>2262</v>
      </c>
      <c r="O356" s="2" t="s">
        <v>56</v>
      </c>
      <c r="P356" s="11">
        <v>4.0</v>
      </c>
      <c r="Q356" s="3"/>
      <c r="R356" s="8" t="s">
        <v>2263</v>
      </c>
      <c r="S356" s="2" t="s">
        <v>28</v>
      </c>
    </row>
    <row r="357" ht="67.5" customHeight="1">
      <c r="A357" s="2" t="s">
        <v>2264</v>
      </c>
      <c r="B357" s="3" t="str">
        <f>IMAGE("https://image.tmdb.org/t/p/w342/ek8e8txUyUwd2BNqj6lFEerJfbq.jpg")</f>
        <v/>
      </c>
      <c r="C357" s="2" t="s">
        <v>2265</v>
      </c>
      <c r="D357" s="4">
        <v>39311.0</v>
      </c>
      <c r="E357" s="5">
        <v>2007.0</v>
      </c>
      <c r="F357" s="2" t="s">
        <v>21</v>
      </c>
      <c r="G357" s="6"/>
      <c r="H357" s="5">
        <v>8363.0</v>
      </c>
      <c r="I357" s="7">
        <v>7.3</v>
      </c>
      <c r="J357" s="2" t="s">
        <v>146</v>
      </c>
      <c r="K357" s="2" t="s">
        <v>2266</v>
      </c>
      <c r="L357" s="8" t="s">
        <v>2267</v>
      </c>
      <c r="M357" s="9">
        <v>113.0</v>
      </c>
      <c r="N357" s="2" t="s">
        <v>2268</v>
      </c>
      <c r="O357" s="2" t="s">
        <v>56</v>
      </c>
      <c r="P357" s="11">
        <v>5.0</v>
      </c>
      <c r="Q357" s="3"/>
      <c r="R357" s="8" t="s">
        <v>2269</v>
      </c>
      <c r="S357" s="2" t="s">
        <v>28</v>
      </c>
    </row>
    <row r="358" ht="67.5" customHeight="1">
      <c r="A358" s="2" t="s">
        <v>2270</v>
      </c>
      <c r="B358" s="3" t="str">
        <f>IMAGE("https://image.tmdb.org/t/p/w342/ldyfo0BKmz5rWtJJKCvwaNS4cJT.jpg")</f>
        <v/>
      </c>
      <c r="C358" s="2" t="s">
        <v>2271</v>
      </c>
      <c r="D358" s="4">
        <v>45847.0</v>
      </c>
      <c r="E358" s="5">
        <v>2025.0</v>
      </c>
      <c r="F358" s="2" t="s">
        <v>31</v>
      </c>
      <c r="G358" s="6"/>
      <c r="H358" s="5">
        <v>1061474.0</v>
      </c>
      <c r="I358" s="7">
        <v>7.344</v>
      </c>
      <c r="J358" s="2" t="s">
        <v>1355</v>
      </c>
      <c r="K358" s="2" t="s">
        <v>2272</v>
      </c>
      <c r="L358" s="8" t="s">
        <v>2273</v>
      </c>
      <c r="M358" s="9">
        <v>130.0</v>
      </c>
      <c r="N358" s="2" t="s">
        <v>2274</v>
      </c>
      <c r="O358" s="2" t="s">
        <v>56</v>
      </c>
      <c r="P358" s="11">
        <v>4.0</v>
      </c>
      <c r="Q358" s="3"/>
      <c r="R358" s="8" t="s">
        <v>2275</v>
      </c>
      <c r="S358" s="2" t="s">
        <v>28</v>
      </c>
    </row>
    <row r="359" ht="67.5" customHeight="1">
      <c r="A359" s="2" t="s">
        <v>2276</v>
      </c>
      <c r="B359" s="3" t="str">
        <f>IMAGE("https://image.tmdb.org/t/p/w342/yzAlcuJhpnxRPjaj7AHBRbNPQCJ.jpg")</f>
        <v/>
      </c>
      <c r="C359" s="2" t="s">
        <v>2277</v>
      </c>
      <c r="D359" s="4">
        <v>41179.0</v>
      </c>
      <c r="E359" s="5">
        <v>2012.0</v>
      </c>
      <c r="F359" s="2" t="s">
        <v>21</v>
      </c>
      <c r="G359" s="6"/>
      <c r="H359" s="5">
        <v>82675.0</v>
      </c>
      <c r="I359" s="7">
        <v>6.366</v>
      </c>
      <c r="J359" s="2" t="s">
        <v>501</v>
      </c>
      <c r="K359" s="2" t="s">
        <v>2278</v>
      </c>
      <c r="L359" s="8" t="s">
        <v>2279</v>
      </c>
      <c r="M359" s="9">
        <v>91.0</v>
      </c>
      <c r="N359" s="2" t="s">
        <v>2280</v>
      </c>
      <c r="O359" s="2" t="s">
        <v>56</v>
      </c>
      <c r="P359" s="11">
        <v>3.0</v>
      </c>
      <c r="Q359" s="3"/>
      <c r="R359" s="8" t="s">
        <v>2281</v>
      </c>
      <c r="S359" s="2" t="s">
        <v>28</v>
      </c>
    </row>
    <row r="360" ht="67.5" customHeight="1">
      <c r="A360" s="2" t="s">
        <v>2282</v>
      </c>
      <c r="B360" s="3" t="str">
        <f>IMAGE("https://image.tmdb.org/t/p/w342/77i7EBUyQKOUiZeYQ5tWDGQb0AI.jpg")</f>
        <v/>
      </c>
      <c r="C360" s="2" t="s">
        <v>2283</v>
      </c>
      <c r="D360" s="4">
        <v>41933.0</v>
      </c>
      <c r="E360" s="5">
        <v>2014.0</v>
      </c>
      <c r="F360" s="2" t="s">
        <v>21</v>
      </c>
      <c r="G360" s="6"/>
      <c r="H360" s="5">
        <v>297608.0</v>
      </c>
      <c r="I360" s="7">
        <v>6.5</v>
      </c>
      <c r="J360" s="2" t="s">
        <v>434</v>
      </c>
      <c r="K360" s="2" t="s">
        <v>2284</v>
      </c>
      <c r="L360" s="8" t="s">
        <v>2285</v>
      </c>
      <c r="M360" s="9">
        <v>90.0</v>
      </c>
      <c r="N360" s="2" t="s">
        <v>2286</v>
      </c>
      <c r="O360" s="2" t="s">
        <v>56</v>
      </c>
      <c r="P360" s="11">
        <v>3.0</v>
      </c>
      <c r="Q360" s="3"/>
      <c r="R360" s="8" t="s">
        <v>2287</v>
      </c>
      <c r="S360" s="2" t="s">
        <v>28</v>
      </c>
    </row>
    <row r="361" ht="67.5" customHeight="1">
      <c r="A361" s="2" t="s">
        <v>2288</v>
      </c>
      <c r="B361" s="3" t="str">
        <f>IMAGE("https://image.tmdb.org/t/p/w342/kdPMUMJzyYAc4roD52qavX0nLIC.jpg")</f>
        <v/>
      </c>
      <c r="C361" s="2" t="s">
        <v>2289</v>
      </c>
      <c r="D361" s="4">
        <v>45133.0</v>
      </c>
      <c r="E361" s="5">
        <v>2022.0</v>
      </c>
      <c r="F361" s="2" t="s">
        <v>31</v>
      </c>
      <c r="G361" s="6"/>
      <c r="H361" s="5">
        <v>1008042.0</v>
      </c>
      <c r="I361" s="7">
        <v>7.14</v>
      </c>
      <c r="J361" s="2" t="s">
        <v>93</v>
      </c>
      <c r="K361" s="2" t="s">
        <v>2290</v>
      </c>
      <c r="L361" s="8" t="s">
        <v>2291</v>
      </c>
      <c r="M361" s="9">
        <v>95.0</v>
      </c>
      <c r="N361" s="2" t="s">
        <v>2292</v>
      </c>
      <c r="O361" s="2" t="s">
        <v>56</v>
      </c>
      <c r="P361" s="11">
        <v>4.0</v>
      </c>
      <c r="Q361" s="3"/>
      <c r="R361" s="8" t="s">
        <v>2293</v>
      </c>
      <c r="S361" s="2" t="s">
        <v>28</v>
      </c>
    </row>
    <row r="362" ht="67.5" customHeight="1">
      <c r="A362" s="2" t="s">
        <v>2294</v>
      </c>
      <c r="B362" s="3" t="str">
        <f>IMAGE("https://image.tmdb.org/t/p/w342/ym7Kst6a4uodryxqbGOxmewF235.jpg")</f>
        <v/>
      </c>
      <c r="C362" s="2" t="s">
        <v>2295</v>
      </c>
      <c r="D362" s="4">
        <v>40506.0</v>
      </c>
      <c r="E362" s="5">
        <v>2010.0</v>
      </c>
      <c r="F362" s="2" t="s">
        <v>21</v>
      </c>
      <c r="G362" s="6"/>
      <c r="H362" s="5">
        <v>38757.0</v>
      </c>
      <c r="I362" s="7">
        <v>7.611</v>
      </c>
      <c r="J362" s="2" t="s">
        <v>1145</v>
      </c>
      <c r="K362" s="2" t="s">
        <v>2296</v>
      </c>
      <c r="L362" s="8" t="s">
        <v>2297</v>
      </c>
      <c r="M362" s="9">
        <v>100.0</v>
      </c>
      <c r="N362" s="2" t="s">
        <v>2298</v>
      </c>
      <c r="O362" s="2" t="s">
        <v>56</v>
      </c>
      <c r="P362" s="11">
        <v>4.0</v>
      </c>
      <c r="Q362" s="3"/>
      <c r="R362" s="8" t="s">
        <v>2299</v>
      </c>
      <c r="S362" s="2" t="s">
        <v>28</v>
      </c>
    </row>
    <row r="363" ht="67.5" customHeight="1">
      <c r="A363" s="2" t="s">
        <v>2300</v>
      </c>
      <c r="B363" s="3" t="str">
        <f>IMAGE("https://image.tmdb.org/t/p/w342/m1Q2VFe1DVVbjfu1LDZe7tlp9yb.jpg")</f>
        <v/>
      </c>
      <c r="C363" s="2" t="s">
        <v>2301</v>
      </c>
      <c r="D363" s="4">
        <v>38270.0</v>
      </c>
      <c r="E363" s="5">
        <v>2004.0</v>
      </c>
      <c r="F363" s="2" t="s">
        <v>21</v>
      </c>
      <c r="G363" s="6"/>
      <c r="H363" s="5">
        <v>3989.0</v>
      </c>
      <c r="I363" s="7">
        <v>6.73</v>
      </c>
      <c r="J363" s="2" t="s">
        <v>2302</v>
      </c>
      <c r="K363" s="2" t="s">
        <v>2303</v>
      </c>
      <c r="L363" s="8" t="s">
        <v>2304</v>
      </c>
      <c r="M363" s="9">
        <v>98.0</v>
      </c>
      <c r="N363" s="2" t="s">
        <v>2305</v>
      </c>
      <c r="O363" s="2" t="s">
        <v>56</v>
      </c>
      <c r="P363" s="11">
        <v>5.0</v>
      </c>
      <c r="Q363" s="3"/>
      <c r="R363" s="8" t="s">
        <v>2306</v>
      </c>
      <c r="S363" s="2" t="s">
        <v>28</v>
      </c>
    </row>
    <row r="364" ht="67.5" customHeight="1">
      <c r="A364" s="2" t="s">
        <v>2307</v>
      </c>
      <c r="B364" s="3" t="str">
        <f>IMAGE("https://image.tmdb.org/t/p/w342/38C91I7Xft0gyY7BITm8i4yvuRb.jpg")</f>
        <v/>
      </c>
      <c r="C364" s="2" t="s">
        <v>2308</v>
      </c>
      <c r="D364" s="4">
        <v>42180.0</v>
      </c>
      <c r="E364" s="5">
        <v>2015.0</v>
      </c>
      <c r="F364" s="2" t="s">
        <v>21</v>
      </c>
      <c r="G364" s="6"/>
      <c r="H364" s="5">
        <v>214756.0</v>
      </c>
      <c r="I364" s="7">
        <v>6.322</v>
      </c>
      <c r="J364" s="2" t="s">
        <v>1519</v>
      </c>
      <c r="K364" s="2" t="s">
        <v>2309</v>
      </c>
      <c r="L364" s="8" t="s">
        <v>2310</v>
      </c>
      <c r="M364" s="9">
        <v>115.0</v>
      </c>
      <c r="N364" s="2" t="s">
        <v>2311</v>
      </c>
      <c r="O364" s="2" t="s">
        <v>56</v>
      </c>
      <c r="P364" s="11">
        <v>3.0</v>
      </c>
      <c r="Q364" s="3"/>
      <c r="R364" s="8" t="s">
        <v>2312</v>
      </c>
      <c r="S364" s="2" t="s">
        <v>28</v>
      </c>
    </row>
    <row r="365" ht="67.5" customHeight="1">
      <c r="A365" s="2" t="s">
        <v>2313</v>
      </c>
      <c r="B365" s="3" t="str">
        <f>IMAGE("https://image.tmdb.org/t/p/w342/7NmDIj5I1OFOZfYFnS3uWtM7WMO.jpg")</f>
        <v/>
      </c>
      <c r="C365" s="2" t="s">
        <v>2314</v>
      </c>
      <c r="D365" s="4">
        <v>39043.0</v>
      </c>
      <c r="E365" s="5">
        <v>2006.0</v>
      </c>
      <c r="F365" s="2" t="s">
        <v>21</v>
      </c>
      <c r="G365" s="6"/>
      <c r="H365" s="5">
        <v>2179.0</v>
      </c>
      <c r="I365" s="7">
        <v>6.782</v>
      </c>
      <c r="J365" s="2" t="s">
        <v>2315</v>
      </c>
      <c r="K365" s="2" t="s">
        <v>2316</v>
      </c>
      <c r="L365" s="8" t="s">
        <v>2317</v>
      </c>
      <c r="M365" s="9">
        <v>93.0</v>
      </c>
      <c r="N365" s="2" t="s">
        <v>2318</v>
      </c>
      <c r="O365" s="2" t="s">
        <v>56</v>
      </c>
      <c r="P365" s="11">
        <v>4.0</v>
      </c>
      <c r="Q365" s="3"/>
      <c r="R365" s="8" t="s">
        <v>2319</v>
      </c>
      <c r="S365" s="2" t="s">
        <v>28</v>
      </c>
    </row>
    <row r="366" ht="67.5" customHeight="1">
      <c r="A366" s="2" t="s">
        <v>2320</v>
      </c>
      <c r="B366" s="3" t="str">
        <f>IMAGE("https://image.tmdb.org/t/p/w342/vvevzdYIrk2636maNW4qeWmlPFG.jpg")</f>
        <v/>
      </c>
      <c r="C366" s="2" t="s">
        <v>2321</v>
      </c>
      <c r="D366" s="4">
        <v>37804.0</v>
      </c>
      <c r="E366" s="5">
        <v>2003.0</v>
      </c>
      <c r="F366" s="2" t="s">
        <v>21</v>
      </c>
      <c r="G366" s="6"/>
      <c r="H366" s="5">
        <v>296.0</v>
      </c>
      <c r="I366" s="7">
        <v>6.192</v>
      </c>
      <c r="J366" s="2" t="s">
        <v>1958</v>
      </c>
      <c r="K366" s="2" t="s">
        <v>2322</v>
      </c>
      <c r="L366" s="8" t="s">
        <v>2323</v>
      </c>
      <c r="M366" s="9">
        <v>109.0</v>
      </c>
      <c r="N366" s="2" t="s">
        <v>2324</v>
      </c>
      <c r="O366" s="2" t="s">
        <v>56</v>
      </c>
      <c r="P366" s="11">
        <v>1.0</v>
      </c>
      <c r="Q366" s="3"/>
      <c r="R366" s="8" t="s">
        <v>2325</v>
      </c>
      <c r="S366" s="2" t="s">
        <v>28</v>
      </c>
    </row>
    <row r="367" ht="67.5" customHeight="1">
      <c r="A367" s="2" t="s">
        <v>2326</v>
      </c>
      <c r="B367" s="3" t="str">
        <f>IMAGE("https://image.tmdb.org/t/p/w342/eMP4F0POBgrB4icn6XgYeLLIrld.jpg")</f>
        <v/>
      </c>
      <c r="C367" s="2" t="s">
        <v>2327</v>
      </c>
      <c r="D367" s="4">
        <v>43223.0</v>
      </c>
      <c r="E367" s="5">
        <v>2017.0</v>
      </c>
      <c r="F367" s="2" t="s">
        <v>21</v>
      </c>
      <c r="G367" s="6"/>
      <c r="H367" s="5">
        <v>489430.0</v>
      </c>
      <c r="I367" s="7">
        <v>6.72</v>
      </c>
      <c r="J367" s="2" t="s">
        <v>93</v>
      </c>
      <c r="K367" s="2" t="s">
        <v>2328</v>
      </c>
      <c r="L367" s="8" t="s">
        <v>2329</v>
      </c>
      <c r="M367" s="9">
        <v>88.0</v>
      </c>
      <c r="N367" s="2" t="s">
        <v>2330</v>
      </c>
      <c r="O367" s="2" t="s">
        <v>56</v>
      </c>
      <c r="P367" s="11">
        <v>5.0</v>
      </c>
      <c r="Q367" s="3"/>
      <c r="R367" s="8" t="s">
        <v>2331</v>
      </c>
      <c r="S367" s="2" t="s">
        <v>28</v>
      </c>
    </row>
    <row r="368" ht="67.5" customHeight="1">
      <c r="A368" s="2" t="s">
        <v>2332</v>
      </c>
      <c r="B368" s="3" t="str">
        <f>IMAGE("https://image.tmdb.org/t/p/w342/fjXqhGmaeQpB73WerhrYU6HlyV5.jpg")</f>
        <v/>
      </c>
      <c r="C368" s="2" t="s">
        <v>2333</v>
      </c>
      <c r="D368" s="4">
        <v>43125.0</v>
      </c>
      <c r="E368" s="5">
        <v>2016.0</v>
      </c>
      <c r="F368" s="2" t="s">
        <v>21</v>
      </c>
      <c r="G368" s="6"/>
      <c r="H368" s="5">
        <v>420634.0</v>
      </c>
      <c r="I368" s="7">
        <v>6.311</v>
      </c>
      <c r="J368" s="2" t="s">
        <v>93</v>
      </c>
      <c r="K368" s="2" t="s">
        <v>2334</v>
      </c>
      <c r="L368" s="8" t="s">
        <v>2335</v>
      </c>
      <c r="M368" s="9">
        <v>84.0</v>
      </c>
      <c r="N368" s="2" t="s">
        <v>2336</v>
      </c>
      <c r="O368" s="2" t="s">
        <v>56</v>
      </c>
      <c r="P368" s="11">
        <v>4.0</v>
      </c>
      <c r="Q368" s="3"/>
      <c r="R368" s="8" t="s">
        <v>2337</v>
      </c>
      <c r="S368" s="2" t="s">
        <v>28</v>
      </c>
    </row>
    <row r="369" ht="67.5" customHeight="1">
      <c r="A369" s="2" t="s">
        <v>2338</v>
      </c>
      <c r="B369" s="3" t="str">
        <f>IMAGE("https://image.tmdb.org/t/p/w342/qEAlwXbYk6IHA4ztoS2XFFaa7Xo.jpg")</f>
        <v/>
      </c>
      <c r="C369" s="2" t="s">
        <v>2339</v>
      </c>
      <c r="D369" s="4">
        <v>44840.0</v>
      </c>
      <c r="E369" s="5">
        <v>2022.0</v>
      </c>
      <c r="F369" s="2" t="s">
        <v>21</v>
      </c>
      <c r="G369" s="6"/>
      <c r="H369" s="5">
        <v>663712.0</v>
      </c>
      <c r="I369" s="7">
        <v>6.668</v>
      </c>
      <c r="J369" s="2" t="s">
        <v>93</v>
      </c>
      <c r="K369" s="2" t="s">
        <v>2340</v>
      </c>
      <c r="L369" s="8" t="s">
        <v>2341</v>
      </c>
      <c r="M369" s="9">
        <v>138.0</v>
      </c>
      <c r="N369" s="2" t="s">
        <v>2342</v>
      </c>
      <c r="O369" s="2" t="s">
        <v>56</v>
      </c>
      <c r="P369" s="11">
        <v>4.0</v>
      </c>
      <c r="Q369" s="3"/>
      <c r="R369" s="8" t="s">
        <v>2343</v>
      </c>
      <c r="S369" s="2" t="s">
        <v>28</v>
      </c>
    </row>
    <row r="370" ht="67.5" customHeight="1">
      <c r="A370" s="2" t="s">
        <v>2344</v>
      </c>
      <c r="B370" s="3" t="str">
        <f>IMAGE("https://image.tmdb.org/t/p/w342/ju10W5gl3PPK3b7TjEmVOZap51I.jpg")</f>
        <v/>
      </c>
      <c r="C370" s="2" t="s">
        <v>2345</v>
      </c>
      <c r="D370" s="4">
        <v>45574.0</v>
      </c>
      <c r="E370" s="5">
        <v>2024.0</v>
      </c>
      <c r="F370" s="2" t="s">
        <v>21</v>
      </c>
      <c r="G370" s="6"/>
      <c r="H370" s="5">
        <v>1034541.0</v>
      </c>
      <c r="I370" s="7">
        <v>6.786</v>
      </c>
      <c r="J370" s="2" t="s">
        <v>93</v>
      </c>
      <c r="K370" s="2" t="s">
        <v>2346</v>
      </c>
      <c r="L370" s="8" t="s">
        <v>2347</v>
      </c>
      <c r="M370" s="9">
        <v>125.0</v>
      </c>
      <c r="N370" s="2" t="s">
        <v>2348</v>
      </c>
      <c r="O370" s="2" t="s">
        <v>56</v>
      </c>
      <c r="P370" s="11">
        <v>4.0</v>
      </c>
      <c r="Q370" s="3"/>
      <c r="R370" s="8" t="s">
        <v>2349</v>
      </c>
      <c r="S370" s="2" t="s">
        <v>28</v>
      </c>
    </row>
    <row r="371" ht="67.5" customHeight="1">
      <c r="A371" s="2" t="s">
        <v>2350</v>
      </c>
      <c r="B371" s="3" t="str">
        <f>IMAGE("https://image.tmdb.org/t/p/w342/mpgkRPH1GNkMCgdPk2OMyHzAks7.jpg")</f>
        <v/>
      </c>
      <c r="C371" s="2" t="s">
        <v>2351</v>
      </c>
      <c r="D371" s="4">
        <v>27313.0</v>
      </c>
      <c r="E371" s="5">
        <v>1974.0</v>
      </c>
      <c r="F371" s="2" t="s">
        <v>21</v>
      </c>
      <c r="G371" s="6"/>
      <c r="H371" s="5">
        <v>30497.0</v>
      </c>
      <c r="I371" s="7">
        <v>7.28</v>
      </c>
      <c r="J371" s="2" t="s">
        <v>93</v>
      </c>
      <c r="K371" s="2" t="s">
        <v>2352</v>
      </c>
      <c r="L371" s="8" t="s">
        <v>2353</v>
      </c>
      <c r="M371" s="9">
        <v>83.0</v>
      </c>
      <c r="N371" s="2" t="s">
        <v>2354</v>
      </c>
      <c r="O371" s="2" t="s">
        <v>56</v>
      </c>
      <c r="P371" s="11">
        <v>4.0</v>
      </c>
      <c r="Q371" s="3"/>
      <c r="R371" s="8" t="s">
        <v>2355</v>
      </c>
      <c r="S371" s="2" t="s">
        <v>28</v>
      </c>
    </row>
    <row r="372" ht="67.5" customHeight="1">
      <c r="A372" s="2" t="s">
        <v>2356</v>
      </c>
      <c r="B372" s="3" t="str">
        <f>IMAGE("https://image.tmdb.org/t/p/w342/781px1eOtfVt1RdIsL4Dt1s3x7R.jpg")</f>
        <v/>
      </c>
      <c r="C372" s="2" t="s">
        <v>2357</v>
      </c>
      <c r="D372" s="4">
        <v>37762.0</v>
      </c>
      <c r="E372" s="5">
        <v>2003.0</v>
      </c>
      <c r="F372" s="2" t="s">
        <v>21</v>
      </c>
      <c r="G372" s="6"/>
      <c r="H372" s="5">
        <v>9373.0</v>
      </c>
      <c r="I372" s="7">
        <v>6.3</v>
      </c>
      <c r="J372" s="2" t="s">
        <v>93</v>
      </c>
      <c r="K372" s="2" t="s">
        <v>2358</v>
      </c>
      <c r="L372" s="8" t="s">
        <v>2359</v>
      </c>
      <c r="M372" s="9">
        <v>98.0</v>
      </c>
      <c r="N372" s="2" t="s">
        <v>2360</v>
      </c>
      <c r="O372" s="2" t="s">
        <v>56</v>
      </c>
      <c r="P372" s="11">
        <v>3.0</v>
      </c>
      <c r="Q372" s="3"/>
      <c r="R372" s="8" t="s">
        <v>2361</v>
      </c>
      <c r="S372" s="2" t="s">
        <v>28</v>
      </c>
    </row>
    <row r="373" ht="67.5" customHeight="1">
      <c r="A373" s="2" t="s">
        <v>2362</v>
      </c>
      <c r="B373" s="3" t="str">
        <f>IMAGE("https://image.tmdb.org/t/p/w342/oaLhdRsZ5Mq8VfZtA4Wlvjzzn0X.jpg")</f>
        <v/>
      </c>
      <c r="C373" s="2" t="s">
        <v>2363</v>
      </c>
      <c r="D373" s="4">
        <v>41074.0</v>
      </c>
      <c r="E373" s="5">
        <v>2012.0</v>
      </c>
      <c r="F373" s="2" t="s">
        <v>21</v>
      </c>
      <c r="G373" s="6"/>
      <c r="H373" s="5">
        <v>87428.0</v>
      </c>
      <c r="I373" s="7">
        <v>5.801</v>
      </c>
      <c r="J373" s="2" t="s">
        <v>146</v>
      </c>
      <c r="K373" s="2" t="s">
        <v>2364</v>
      </c>
      <c r="L373" s="8" t="s">
        <v>2365</v>
      </c>
      <c r="M373" s="9">
        <v>116.0</v>
      </c>
      <c r="N373" s="2" t="s">
        <v>2366</v>
      </c>
      <c r="O373" s="2" t="s">
        <v>56</v>
      </c>
      <c r="P373" s="11">
        <v>3.0</v>
      </c>
      <c r="Q373" s="3"/>
      <c r="R373" s="8" t="s">
        <v>2367</v>
      </c>
      <c r="S373" s="2" t="s">
        <v>28</v>
      </c>
    </row>
    <row r="374" ht="67.5" customHeight="1">
      <c r="A374" s="2" t="s">
        <v>2368</v>
      </c>
      <c r="B374" s="3" t="str">
        <f>IMAGE("https://image.tmdb.org/t/p/w342/wp6OxE4poJ4G7c0U2ZIXasTSMR7.jpg")</f>
        <v/>
      </c>
      <c r="C374" s="2" t="s">
        <v>2369</v>
      </c>
      <c r="D374" s="4">
        <v>41577.0</v>
      </c>
      <c r="E374" s="5">
        <v>2013.0</v>
      </c>
      <c r="F374" s="2" t="s">
        <v>21</v>
      </c>
      <c r="G374" s="6"/>
      <c r="H374" s="5">
        <v>76338.0</v>
      </c>
      <c r="I374" s="7">
        <v>6.5</v>
      </c>
      <c r="J374" s="2" t="s">
        <v>171</v>
      </c>
      <c r="K374" s="2" t="s">
        <v>2370</v>
      </c>
      <c r="L374" s="8" t="s">
        <v>2371</v>
      </c>
      <c r="M374" s="9">
        <v>112.0</v>
      </c>
      <c r="N374" s="2" t="s">
        <v>2372</v>
      </c>
      <c r="O374" s="2" t="s">
        <v>26</v>
      </c>
      <c r="P374" s="10"/>
      <c r="Q374" s="3"/>
      <c r="R374" s="8" t="s">
        <v>2373</v>
      </c>
      <c r="S374" s="2" t="s">
        <v>28</v>
      </c>
    </row>
    <row r="375" ht="67.5" customHeight="1">
      <c r="A375" s="2" t="s">
        <v>2374</v>
      </c>
      <c r="B375" s="3" t="str">
        <f>IMAGE("https://image.tmdb.org/t/p/w342/kziYpr5Nfw60P0My8aj1sgCEqed.jpg")</f>
        <v/>
      </c>
      <c r="C375" s="2" t="s">
        <v>2375</v>
      </c>
      <c r="D375" s="4">
        <v>42143.0</v>
      </c>
      <c r="E375" s="5">
        <v>2015.0</v>
      </c>
      <c r="F375" s="2" t="s">
        <v>21</v>
      </c>
      <c r="G375" s="6"/>
      <c r="H375" s="5">
        <v>158852.0</v>
      </c>
      <c r="I375" s="7">
        <v>6.3</v>
      </c>
      <c r="J375" s="2" t="s">
        <v>2376</v>
      </c>
      <c r="K375" s="2" t="s">
        <v>2377</v>
      </c>
      <c r="L375" s="8" t="s">
        <v>2378</v>
      </c>
      <c r="M375" s="9">
        <v>130.0</v>
      </c>
      <c r="N375" s="2" t="s">
        <v>2379</v>
      </c>
      <c r="O375" s="2" t="s">
        <v>26</v>
      </c>
      <c r="P375" s="10"/>
      <c r="Q375" s="3"/>
      <c r="R375" s="8" t="s">
        <v>2380</v>
      </c>
      <c r="S375" s="2" t="s">
        <v>28</v>
      </c>
    </row>
    <row r="376" ht="67.5" customHeight="1">
      <c r="A376" s="2" t="s">
        <v>2381</v>
      </c>
      <c r="B376" s="3" t="str">
        <f>IMAGE("https://image.tmdb.org/t/p/w342/w0nmol4g7n6MFfhfphV7GzHHYjB.jpg")</f>
        <v/>
      </c>
      <c r="C376" s="2" t="s">
        <v>2382</v>
      </c>
      <c r="D376" s="4">
        <v>39425.0</v>
      </c>
      <c r="E376" s="5">
        <v>2007.0</v>
      </c>
      <c r="F376" s="2" t="s">
        <v>21</v>
      </c>
      <c r="G376" s="6"/>
      <c r="H376" s="5">
        <v>23202.0</v>
      </c>
      <c r="I376" s="7">
        <v>6.984</v>
      </c>
      <c r="J376" s="2" t="s">
        <v>2383</v>
      </c>
      <c r="K376" s="2" t="s">
        <v>2384</v>
      </c>
      <c r="L376" s="8" t="s">
        <v>2385</v>
      </c>
      <c r="M376" s="9">
        <v>82.0</v>
      </c>
      <c r="N376" s="2" t="s">
        <v>2386</v>
      </c>
      <c r="O376" s="2" t="s">
        <v>56</v>
      </c>
      <c r="P376" s="11">
        <v>4.0</v>
      </c>
      <c r="Q376" s="3"/>
      <c r="R376" s="8" t="s">
        <v>2387</v>
      </c>
      <c r="S376" s="2" t="s">
        <v>28</v>
      </c>
    </row>
    <row r="377" ht="67.5" customHeight="1">
      <c r="A377" s="2" t="s">
        <v>2388</v>
      </c>
      <c r="B377" s="3" t="str">
        <f>IMAGE("https://image.tmdb.org/t/p/w342/zAurB9mNxfYRoVrVjAJJwGV3sPg.jpg")</f>
        <v/>
      </c>
      <c r="C377" s="2" t="s">
        <v>2389</v>
      </c>
      <c r="D377" s="4">
        <v>39669.0</v>
      </c>
      <c r="E377" s="5">
        <v>2008.0</v>
      </c>
      <c r="F377" s="2" t="s">
        <v>21</v>
      </c>
      <c r="G377" s="6"/>
      <c r="H377" s="5">
        <v>7446.0</v>
      </c>
      <c r="I377" s="7">
        <v>6.713</v>
      </c>
      <c r="J377" s="2" t="s">
        <v>2390</v>
      </c>
      <c r="K377" s="2" t="s">
        <v>2391</v>
      </c>
      <c r="L377" s="8" t="s">
        <v>2392</v>
      </c>
      <c r="M377" s="9">
        <v>107.0</v>
      </c>
      <c r="N377" s="2" t="s">
        <v>2393</v>
      </c>
      <c r="O377" s="2" t="s">
        <v>56</v>
      </c>
      <c r="P377" s="11">
        <v>5.0</v>
      </c>
      <c r="Q377" s="3"/>
      <c r="R377" s="8" t="s">
        <v>2394</v>
      </c>
      <c r="S377" s="2" t="s">
        <v>28</v>
      </c>
    </row>
    <row r="378" ht="67.5" customHeight="1">
      <c r="A378" s="2" t="s">
        <v>2395</v>
      </c>
      <c r="B378" s="3" t="str">
        <f>IMAGE("https://image.tmdb.org/t/p/w342/8shwLEDzajJGSfLgbpac8x8xn1U.jpg")</f>
        <v/>
      </c>
      <c r="C378" s="2" t="s">
        <v>2396</v>
      </c>
      <c r="D378" s="4">
        <v>40200.0</v>
      </c>
      <c r="E378" s="5">
        <v>2010.0</v>
      </c>
      <c r="F378" s="2" t="s">
        <v>21</v>
      </c>
      <c r="G378" s="6"/>
      <c r="H378" s="5">
        <v>46838.0</v>
      </c>
      <c r="I378" s="7">
        <v>7.391</v>
      </c>
      <c r="J378" s="2" t="s">
        <v>265</v>
      </c>
      <c r="K378" s="2" t="s">
        <v>2397</v>
      </c>
      <c r="L378" s="8" t="s">
        <v>2398</v>
      </c>
      <c r="M378" s="9">
        <v>89.0</v>
      </c>
      <c r="N378" s="2" t="s">
        <v>2399</v>
      </c>
      <c r="O378" s="2" t="s">
        <v>56</v>
      </c>
      <c r="P378" s="11">
        <v>4.0</v>
      </c>
      <c r="Q378" s="3"/>
      <c r="R378" s="8" t="s">
        <v>2400</v>
      </c>
      <c r="S378" s="2" t="s">
        <v>28</v>
      </c>
    </row>
    <row r="379" ht="67.5" customHeight="1">
      <c r="A379" s="2" t="s">
        <v>2401</v>
      </c>
      <c r="B379" s="3" t="str">
        <f>IMAGE("https://image.tmdb.org/t/p/w342/42H2aaD5UubsHyWt6zfrFMRP8y1.jpg")</f>
        <v/>
      </c>
      <c r="C379" s="2" t="s">
        <v>2402</v>
      </c>
      <c r="D379" s="4">
        <v>39822.0</v>
      </c>
      <c r="E379" s="5">
        <v>2009.0</v>
      </c>
      <c r="F379" s="2" t="s">
        <v>21</v>
      </c>
      <c r="G379" s="6"/>
      <c r="H379" s="5">
        <v>13788.0</v>
      </c>
      <c r="I379" s="7">
        <v>5.2</v>
      </c>
      <c r="J379" s="2" t="s">
        <v>1029</v>
      </c>
      <c r="K379" s="2" t="s">
        <v>2403</v>
      </c>
      <c r="L379" s="8" t="s">
        <v>2404</v>
      </c>
      <c r="M379" s="9">
        <v>87.0</v>
      </c>
      <c r="N379" s="2" t="s">
        <v>2405</v>
      </c>
      <c r="O379" s="2" t="s">
        <v>26</v>
      </c>
      <c r="P379" s="10"/>
      <c r="Q379" s="3"/>
      <c r="R379" s="8" t="s">
        <v>2406</v>
      </c>
      <c r="S379" s="2" t="s">
        <v>28</v>
      </c>
    </row>
    <row r="380" ht="67.5" customHeight="1">
      <c r="A380" s="2" t="s">
        <v>2407</v>
      </c>
      <c r="B380" s="3" t="str">
        <f>IMAGE("https://image.tmdb.org/t/p/w342/tQ4IWxSYIgZVWnQwLCG8r6sUraU.jpg")</f>
        <v/>
      </c>
      <c r="C380" s="2" t="s">
        <v>2408</v>
      </c>
      <c r="D380" s="4">
        <v>41369.0</v>
      </c>
      <c r="E380" s="5">
        <v>2013.0</v>
      </c>
      <c r="F380" s="2" t="s">
        <v>21</v>
      </c>
      <c r="G380" s="6"/>
      <c r="H380" s="5">
        <v>145197.0</v>
      </c>
      <c r="I380" s="7">
        <v>6.344</v>
      </c>
      <c r="J380" s="2" t="s">
        <v>629</v>
      </c>
      <c r="K380" s="2" t="s">
        <v>2409</v>
      </c>
      <c r="L380" s="8" t="s">
        <v>2410</v>
      </c>
      <c r="M380" s="9">
        <v>96.0</v>
      </c>
      <c r="N380" s="2" t="s">
        <v>2411</v>
      </c>
      <c r="O380" s="2" t="s">
        <v>26</v>
      </c>
      <c r="P380" s="10"/>
      <c r="Q380" s="3"/>
      <c r="R380" s="8" t="s">
        <v>2412</v>
      </c>
      <c r="S380" s="2" t="s">
        <v>28</v>
      </c>
    </row>
    <row r="381" ht="67.5" customHeight="1">
      <c r="A381" s="2" t="s">
        <v>2413</v>
      </c>
      <c r="B381" s="3" t="str">
        <f>IMAGE("https://image.tmdb.org/t/p/w342/Avlo5JZOBXWx4oymtkXfCaomV5Y.jpg")</f>
        <v/>
      </c>
      <c r="C381" s="2" t="s">
        <v>2414</v>
      </c>
      <c r="D381" s="4">
        <v>38552.0</v>
      </c>
      <c r="E381" s="5">
        <v>2005.0</v>
      </c>
      <c r="F381" s="2" t="s">
        <v>21</v>
      </c>
      <c r="G381" s="6"/>
      <c r="H381" s="5">
        <v>10292.0</v>
      </c>
      <c r="I381" s="7">
        <v>4.937</v>
      </c>
      <c r="J381" s="2" t="s">
        <v>73</v>
      </c>
      <c r="K381" s="2" t="s">
        <v>2415</v>
      </c>
      <c r="L381" s="8" t="s">
        <v>2416</v>
      </c>
      <c r="M381" s="9">
        <v>93.0</v>
      </c>
      <c r="N381" s="2" t="s">
        <v>2417</v>
      </c>
      <c r="O381" s="2" t="s">
        <v>56</v>
      </c>
      <c r="P381" s="11">
        <v>4.0</v>
      </c>
      <c r="Q381" s="3"/>
      <c r="R381" s="8" t="s">
        <v>2418</v>
      </c>
      <c r="S381" s="2" t="s">
        <v>28</v>
      </c>
    </row>
    <row r="382" ht="67.5" customHeight="1">
      <c r="A382" s="2" t="s">
        <v>2419</v>
      </c>
      <c r="B382" s="3" t="str">
        <f>IMAGE("https://image.tmdb.org/t/p/w342/ux2dU1jQ2ACIMShzB3yP93Udpzc.jpg")</f>
        <v/>
      </c>
      <c r="C382" s="2" t="s">
        <v>2420</v>
      </c>
      <c r="D382" s="4">
        <v>43538.0</v>
      </c>
      <c r="E382" s="5">
        <v>2019.0</v>
      </c>
      <c r="F382" s="2" t="s">
        <v>21</v>
      </c>
      <c r="G382" s="6"/>
      <c r="H382" s="5">
        <v>458723.0</v>
      </c>
      <c r="I382" s="7">
        <v>6.9</v>
      </c>
      <c r="J382" s="2" t="s">
        <v>73</v>
      </c>
      <c r="K382" s="2" t="s">
        <v>2421</v>
      </c>
      <c r="L382" s="8" t="s">
        <v>2422</v>
      </c>
      <c r="M382" s="9">
        <v>116.0</v>
      </c>
      <c r="N382" s="2" t="s">
        <v>2423</v>
      </c>
      <c r="O382" s="2" t="s">
        <v>56</v>
      </c>
      <c r="P382" s="11">
        <v>5.0</v>
      </c>
      <c r="Q382" s="3"/>
      <c r="R382" s="8" t="s">
        <v>2424</v>
      </c>
      <c r="S382" s="2" t="s">
        <v>28</v>
      </c>
    </row>
    <row r="383" ht="67.5" customHeight="1">
      <c r="A383" s="2" t="s">
        <v>2425</v>
      </c>
      <c r="B383" s="3" t="str">
        <f>IMAGE("https://image.tmdb.org/t/p/w342/o4hcWsHaHaNQ9BBReOxLvYJNRhA.jpg")</f>
        <v/>
      </c>
      <c r="C383" s="2" t="s">
        <v>2426</v>
      </c>
      <c r="D383" s="4">
        <v>41431.0</v>
      </c>
      <c r="E383" s="5">
        <v>2013.0</v>
      </c>
      <c r="F383" s="2" t="s">
        <v>21</v>
      </c>
      <c r="G383" s="6"/>
      <c r="H383" s="5">
        <v>159117.0</v>
      </c>
      <c r="I383" s="7">
        <v>6.194</v>
      </c>
      <c r="J383" s="2" t="s">
        <v>39</v>
      </c>
      <c r="K383" s="2" t="s">
        <v>2427</v>
      </c>
      <c r="L383" s="8" t="s">
        <v>2428</v>
      </c>
      <c r="M383" s="9">
        <v>96.0</v>
      </c>
      <c r="N383" s="2" t="s">
        <v>2429</v>
      </c>
      <c r="O383" s="2" t="s">
        <v>26</v>
      </c>
      <c r="P383" s="10"/>
      <c r="Q383" s="3"/>
      <c r="R383" s="8" t="s">
        <v>2430</v>
      </c>
      <c r="S383" s="2" t="s">
        <v>28</v>
      </c>
    </row>
    <row r="384" ht="67.5" customHeight="1">
      <c r="A384" s="2" t="s">
        <v>2431</v>
      </c>
      <c r="B384" s="3" t="str">
        <f>IMAGE("https://image.tmdb.org/t/p/w342/aM3wnZTKEuPLDwxuMWcHDibOkiw.jpg")</f>
        <v/>
      </c>
      <c r="C384" s="2" t="s">
        <v>2432</v>
      </c>
      <c r="D384" s="4">
        <v>45253.0</v>
      </c>
      <c r="E384" s="5">
        <v>2023.0</v>
      </c>
      <c r="F384" s="2" t="s">
        <v>21</v>
      </c>
      <c r="G384" s="6"/>
      <c r="H384" s="5">
        <v>1032948.0</v>
      </c>
      <c r="I384" s="7">
        <v>5.661</v>
      </c>
      <c r="J384" s="2" t="s">
        <v>39</v>
      </c>
      <c r="K384" s="2" t="s">
        <v>2433</v>
      </c>
      <c r="L384" s="8" t="s">
        <v>2434</v>
      </c>
      <c r="M384" s="9">
        <v>111.0</v>
      </c>
      <c r="N384" s="2" t="s">
        <v>2435</v>
      </c>
      <c r="O384" s="2" t="s">
        <v>26</v>
      </c>
      <c r="P384" s="10"/>
      <c r="Q384" s="3"/>
      <c r="R384" s="8" t="s">
        <v>2436</v>
      </c>
      <c r="S384" s="2" t="s">
        <v>28</v>
      </c>
    </row>
    <row r="385" ht="67.5" customHeight="1">
      <c r="A385" s="2" t="s">
        <v>2437</v>
      </c>
      <c r="B385" s="3" t="str">
        <f>IMAGE("https://image.tmdb.org/t/p/w342/9fSogEkqDfJQTuGHsTFloQz3Tw8.jpg")</f>
        <v/>
      </c>
      <c r="C385" s="2" t="s">
        <v>2438</v>
      </c>
      <c r="D385" s="4">
        <v>44465.0</v>
      </c>
      <c r="E385" s="5">
        <v>2021.0</v>
      </c>
      <c r="F385" s="2" t="s">
        <v>21</v>
      </c>
      <c r="G385" s="6"/>
      <c r="H385" s="5">
        <v>753453.0</v>
      </c>
      <c r="I385" s="7">
        <v>6.126</v>
      </c>
      <c r="J385" s="2" t="s">
        <v>39</v>
      </c>
      <c r="K385" s="2" t="s">
        <v>2439</v>
      </c>
      <c r="L385" s="8" t="s">
        <v>2440</v>
      </c>
      <c r="M385" s="9">
        <v>103.0</v>
      </c>
      <c r="N385" s="2" t="s">
        <v>2441</v>
      </c>
      <c r="O385" s="2" t="s">
        <v>26</v>
      </c>
      <c r="P385" s="10"/>
      <c r="Q385" s="3"/>
      <c r="R385" s="8" t="s">
        <v>2442</v>
      </c>
      <c r="S385" s="2" t="s">
        <v>28</v>
      </c>
    </row>
    <row r="386" ht="67.5" customHeight="1">
      <c r="A386" s="2" t="s">
        <v>2443</v>
      </c>
      <c r="B386" s="3" t="str">
        <f>IMAGE("https://image.tmdb.org/t/p/w342/1bOMmFtnykBmvhFcx8zdXO6bCAa.jpg")</f>
        <v/>
      </c>
      <c r="C386" s="2" t="s">
        <v>2444</v>
      </c>
      <c r="D386" s="4">
        <v>44819.0</v>
      </c>
      <c r="E386" s="5">
        <v>2022.0</v>
      </c>
      <c r="F386" s="2" t="s">
        <v>21</v>
      </c>
      <c r="G386" s="6"/>
      <c r="H386" s="5">
        <v>1005776.0</v>
      </c>
      <c r="I386" s="7">
        <v>5.876</v>
      </c>
      <c r="J386" s="2" t="s">
        <v>39</v>
      </c>
      <c r="K386" s="2" t="s">
        <v>2445</v>
      </c>
      <c r="L386" s="8" t="s">
        <v>2446</v>
      </c>
      <c r="M386" s="9">
        <v>109.0</v>
      </c>
      <c r="N386" s="2" t="s">
        <v>2447</v>
      </c>
      <c r="O386" s="2" t="s">
        <v>26</v>
      </c>
      <c r="P386" s="10"/>
      <c r="Q386" s="3"/>
      <c r="R386" s="8" t="s">
        <v>2448</v>
      </c>
      <c r="S386" s="2" t="s">
        <v>28</v>
      </c>
    </row>
    <row r="387" ht="67.5" customHeight="1">
      <c r="A387" s="2" t="s">
        <v>2449</v>
      </c>
      <c r="B387" s="3" t="str">
        <f>IMAGE("https://image.tmdb.org/t/p/w342/wXaf6VGNHIGU7qivapGOF7o4o4N.jpg")</f>
        <v/>
      </c>
      <c r="C387" s="2" t="s">
        <v>2450</v>
      </c>
      <c r="D387" s="4">
        <v>45555.0</v>
      </c>
      <c r="E387" s="5">
        <v>2024.0</v>
      </c>
      <c r="F387" s="2" t="s">
        <v>21</v>
      </c>
      <c r="G387" s="6"/>
      <c r="H387" s="5">
        <v>1190868.0</v>
      </c>
      <c r="I387" s="7">
        <v>6.567</v>
      </c>
      <c r="J387" s="2" t="s">
        <v>402</v>
      </c>
      <c r="K387" s="2" t="s">
        <v>2451</v>
      </c>
      <c r="L387" s="8" t="s">
        <v>2452</v>
      </c>
      <c r="M387" s="9">
        <v>114.0</v>
      </c>
      <c r="N387" s="2" t="s">
        <v>2453</v>
      </c>
      <c r="O387" s="2" t="s">
        <v>26</v>
      </c>
      <c r="P387" s="10"/>
      <c r="Q387" s="3"/>
      <c r="R387" s="8" t="s">
        <v>2454</v>
      </c>
      <c r="S387" s="2" t="s">
        <v>28</v>
      </c>
    </row>
    <row r="388" ht="67.5" customHeight="1">
      <c r="A388" s="2" t="s">
        <v>2455</v>
      </c>
      <c r="B388" s="3" t="str">
        <f>IMAGE("https://image.tmdb.org/t/p/w342/9nlJVsbebi1onTwGyJ3UHDNttID.jpg")</f>
        <v/>
      </c>
      <c r="C388" s="2" t="s">
        <v>2456</v>
      </c>
      <c r="D388" s="4">
        <v>39192.0</v>
      </c>
      <c r="E388" s="5">
        <v>2007.0</v>
      </c>
      <c r="F388" s="2" t="s">
        <v>21</v>
      </c>
      <c r="G388" s="6"/>
      <c r="H388" s="5">
        <v>10294.0</v>
      </c>
      <c r="I388" s="7">
        <v>6.27</v>
      </c>
      <c r="J388" s="2" t="s">
        <v>39</v>
      </c>
      <c r="K388" s="2" t="s">
        <v>2457</v>
      </c>
      <c r="L388" s="8" t="s">
        <v>2458</v>
      </c>
      <c r="M388" s="9">
        <v>85.0</v>
      </c>
      <c r="N388" s="2" t="s">
        <v>2459</v>
      </c>
      <c r="O388" s="2" t="s">
        <v>56</v>
      </c>
      <c r="P388" s="11">
        <v>4.0</v>
      </c>
      <c r="Q388" s="3"/>
      <c r="R388" s="8" t="s">
        <v>2460</v>
      </c>
      <c r="S388" s="2" t="s">
        <v>28</v>
      </c>
    </row>
    <row r="389" ht="67.5" customHeight="1">
      <c r="A389" s="2" t="s">
        <v>2461</v>
      </c>
      <c r="B389" s="3" t="str">
        <f>IMAGE("https://image.tmdb.org/t/p/w342/cncxLilRHKayn8VKhzjAMHkbN4f.jpg")</f>
        <v/>
      </c>
      <c r="C389" s="2" t="s">
        <v>2462</v>
      </c>
      <c r="D389" s="4">
        <v>40851.0</v>
      </c>
      <c r="E389" s="5">
        <v>2011.0</v>
      </c>
      <c r="F389" s="2" t="s">
        <v>21</v>
      </c>
      <c r="G389" s="6"/>
      <c r="H389" s="5">
        <v>55465.0</v>
      </c>
      <c r="I389" s="7">
        <v>6.0</v>
      </c>
      <c r="J389" s="2" t="s">
        <v>146</v>
      </c>
      <c r="K389" s="2" t="s">
        <v>2463</v>
      </c>
      <c r="L389" s="8" t="s">
        <v>2464</v>
      </c>
      <c r="M389" s="9">
        <v>90.0</v>
      </c>
      <c r="N389" s="2" t="s">
        <v>2465</v>
      </c>
      <c r="O389" s="2" t="s">
        <v>56</v>
      </c>
      <c r="P389" s="11">
        <v>3.0</v>
      </c>
      <c r="Q389" s="3"/>
      <c r="R389" s="8" t="s">
        <v>2466</v>
      </c>
      <c r="S389" s="2" t="s">
        <v>28</v>
      </c>
    </row>
    <row r="390" ht="67.5" customHeight="1">
      <c r="A390" s="2" t="s">
        <v>2467</v>
      </c>
      <c r="B390" s="3" t="str">
        <f>IMAGE("https://image.tmdb.org/t/p/w342/qqqkiZSU9EBGZ1KiDmfn07S7qvv.jpg")</f>
        <v/>
      </c>
      <c r="C390" s="2" t="s">
        <v>2468</v>
      </c>
      <c r="D390" s="4">
        <v>30351.0</v>
      </c>
      <c r="E390" s="5">
        <v>1983.0</v>
      </c>
      <c r="F390" s="2" t="s">
        <v>31</v>
      </c>
      <c r="G390" s="6"/>
      <c r="H390" s="5">
        <v>837.0</v>
      </c>
      <c r="I390" s="7">
        <v>7.249</v>
      </c>
      <c r="J390" s="2" t="s">
        <v>913</v>
      </c>
      <c r="K390" s="2" t="s">
        <v>2469</v>
      </c>
      <c r="L390" s="8" t="s">
        <v>2470</v>
      </c>
      <c r="M390" s="9">
        <v>88.0</v>
      </c>
      <c r="N390" s="2" t="s">
        <v>2471</v>
      </c>
      <c r="O390" s="2" t="s">
        <v>26</v>
      </c>
      <c r="P390" s="10"/>
      <c r="Q390" s="3"/>
      <c r="R390" s="8" t="s">
        <v>2472</v>
      </c>
      <c r="S390" s="2" t="s">
        <v>28</v>
      </c>
    </row>
    <row r="391" ht="67.5" customHeight="1">
      <c r="A391" s="2" t="s">
        <v>2473</v>
      </c>
      <c r="B391" s="3" t="str">
        <f>IMAGE("https://image.tmdb.org/t/p/w342/RbymxgEM5SpDfO2Io2JMFG10Vi.jpg")</f>
        <v/>
      </c>
      <c r="C391" s="2" t="s">
        <v>2474</v>
      </c>
      <c r="D391" s="4">
        <v>42502.0</v>
      </c>
      <c r="E391" s="5">
        <v>2016.0</v>
      </c>
      <c r="F391" s="2" t="s">
        <v>21</v>
      </c>
      <c r="G391" s="6"/>
      <c r="H391" s="5">
        <v>293670.0</v>
      </c>
      <c r="I391" s="7">
        <v>7.378</v>
      </c>
      <c r="J391" s="2" t="s">
        <v>73</v>
      </c>
      <c r="K391" s="2" t="s">
        <v>2475</v>
      </c>
      <c r="L391" s="8" t="s">
        <v>2476</v>
      </c>
      <c r="M391" s="9">
        <v>156.0</v>
      </c>
      <c r="N391" s="2" t="s">
        <v>2477</v>
      </c>
      <c r="O391" s="2" t="s">
        <v>26</v>
      </c>
      <c r="P391" s="10"/>
      <c r="Q391" s="3"/>
      <c r="R391" s="8" t="s">
        <v>2478</v>
      </c>
      <c r="S391" s="2" t="s">
        <v>28</v>
      </c>
    </row>
    <row r="392" ht="67.5" customHeight="1">
      <c r="A392" s="2" t="s">
        <v>2479</v>
      </c>
      <c r="B392" s="3" t="str">
        <f>IMAGE("https://image.tmdb.org/t/p/w342/3vYhLLxrTtZLysXtIWktmd57Snv.jpg")</f>
        <v/>
      </c>
      <c r="C392" s="2" t="s">
        <v>2480</v>
      </c>
      <c r="D392" s="4">
        <v>42927.0</v>
      </c>
      <c r="E392" s="5">
        <v>2017.0</v>
      </c>
      <c r="F392" s="2" t="s">
        <v>31</v>
      </c>
      <c r="G392" s="6"/>
      <c r="H392" s="5">
        <v>281338.0</v>
      </c>
      <c r="I392" s="7">
        <v>7.2</v>
      </c>
      <c r="J392" s="2" t="s">
        <v>2481</v>
      </c>
      <c r="K392" s="2" t="s">
        <v>2482</v>
      </c>
      <c r="L392" s="8" t="s">
        <v>2483</v>
      </c>
      <c r="M392" s="9">
        <v>140.0</v>
      </c>
      <c r="N392" s="2" t="s">
        <v>2484</v>
      </c>
      <c r="O392" s="2" t="s">
        <v>26</v>
      </c>
      <c r="P392" s="10"/>
      <c r="Q392" s="3"/>
      <c r="R392" s="8" t="s">
        <v>2485</v>
      </c>
      <c r="S392" s="2" t="s">
        <v>28</v>
      </c>
    </row>
    <row r="393" ht="67.5" customHeight="1">
      <c r="A393" s="2" t="s">
        <v>2486</v>
      </c>
      <c r="B393" s="3" t="str">
        <f>IMAGE("https://image.tmdb.org/t/p/w342/gwfgYA9wGpV4QLB0LrcexwfwC19.jpg")</f>
        <v/>
      </c>
      <c r="C393" s="2" t="s">
        <v>2487</v>
      </c>
      <c r="D393" s="4">
        <v>41116.0</v>
      </c>
      <c r="E393" s="5">
        <v>2012.0</v>
      </c>
      <c r="F393" s="2" t="s">
        <v>21</v>
      </c>
      <c r="G393" s="6"/>
      <c r="H393" s="5">
        <v>80035.0</v>
      </c>
      <c r="I393" s="7">
        <v>5.595</v>
      </c>
      <c r="J393" s="2" t="s">
        <v>2488</v>
      </c>
      <c r="K393" s="2" t="s">
        <v>2489</v>
      </c>
      <c r="L393" s="8" t="s">
        <v>2490</v>
      </c>
      <c r="M393" s="9">
        <v>102.0</v>
      </c>
      <c r="N393" s="2" t="s">
        <v>2491</v>
      </c>
      <c r="O393" s="2" t="s">
        <v>56</v>
      </c>
      <c r="P393" s="11">
        <v>3.0</v>
      </c>
      <c r="Q393" s="3"/>
      <c r="R393" s="8" t="s">
        <v>2492</v>
      </c>
      <c r="S393" s="2" t="s">
        <v>28</v>
      </c>
    </row>
    <row r="394" ht="67.5" customHeight="1">
      <c r="A394" s="2" t="s">
        <v>2493</v>
      </c>
      <c r="B394" s="3" t="str">
        <f>IMAGE("https://image.tmdb.org/t/p/w342/AtdYbs1SqYwFOLyi2v6ldVTawbn.jpg")</f>
        <v/>
      </c>
      <c r="C394" s="2" t="s">
        <v>2494</v>
      </c>
      <c r="D394" s="4">
        <v>40814.0</v>
      </c>
      <c r="E394" s="5">
        <v>2011.0</v>
      </c>
      <c r="F394" s="2" t="s">
        <v>21</v>
      </c>
      <c r="G394" s="6"/>
      <c r="H394" s="5">
        <v>71859.0</v>
      </c>
      <c r="I394" s="7">
        <v>7.542</v>
      </c>
      <c r="J394" s="2" t="s">
        <v>2495</v>
      </c>
      <c r="K394" s="2" t="s">
        <v>2496</v>
      </c>
      <c r="L394" s="8" t="s">
        <v>2497</v>
      </c>
      <c r="M394" s="9">
        <v>113.0</v>
      </c>
      <c r="N394" s="2" t="s">
        <v>2498</v>
      </c>
      <c r="O394" s="2" t="s">
        <v>26</v>
      </c>
      <c r="P394" s="10"/>
      <c r="Q394" s="3"/>
      <c r="R394" s="8" t="s">
        <v>2499</v>
      </c>
      <c r="S394" s="2" t="s">
        <v>28</v>
      </c>
    </row>
    <row r="395" ht="67.5" customHeight="1">
      <c r="A395" s="2" t="s">
        <v>2500</v>
      </c>
      <c r="B395" s="3" t="str">
        <f>IMAGE("https://image.tmdb.org/t/p/w342/qF2LJ0jwWrtXSuT4AFD5OS2IqaT.jpg")</f>
        <v/>
      </c>
      <c r="C395" s="2" t="s">
        <v>2501</v>
      </c>
      <c r="D395" s="4">
        <v>41493.0</v>
      </c>
      <c r="E395" s="5">
        <v>2013.0</v>
      </c>
      <c r="F395" s="2" t="s">
        <v>21</v>
      </c>
      <c r="G395" s="6"/>
      <c r="H395" s="5">
        <v>138832.0</v>
      </c>
      <c r="I395" s="7">
        <v>6.8</v>
      </c>
      <c r="J395" s="2" t="s">
        <v>232</v>
      </c>
      <c r="K395" s="2" t="s">
        <v>2502</v>
      </c>
      <c r="L395" s="8" t="s">
        <v>2503</v>
      </c>
      <c r="M395" s="9">
        <v>110.0</v>
      </c>
      <c r="N395" s="2" t="s">
        <v>2504</v>
      </c>
      <c r="O395" s="2" t="s">
        <v>56</v>
      </c>
      <c r="P395" s="11">
        <v>4.0</v>
      </c>
      <c r="Q395" s="3"/>
      <c r="R395" s="8" t="s">
        <v>2505</v>
      </c>
      <c r="S395" s="2" t="s">
        <v>28</v>
      </c>
    </row>
    <row r="396" ht="67.5" customHeight="1">
      <c r="A396" s="2" t="s">
        <v>2506</v>
      </c>
      <c r="B396" s="3" t="str">
        <f>IMAGE("https://image.tmdb.org/t/p/w342/cpf7vsRZ0MYRQcnLWteD5jK9ymT.jpg")</f>
        <v/>
      </c>
      <c r="C396" s="2" t="s">
        <v>2507</v>
      </c>
      <c r="D396" s="4">
        <v>45873.0</v>
      </c>
      <c r="E396" s="5">
        <v>2025.0</v>
      </c>
      <c r="F396" s="2" t="s">
        <v>31</v>
      </c>
      <c r="G396" s="6"/>
      <c r="H396" s="5">
        <v>1078605.0</v>
      </c>
      <c r="I396" s="7">
        <v>7.256</v>
      </c>
      <c r="J396" s="2" t="s">
        <v>73</v>
      </c>
      <c r="K396" s="2" t="s">
        <v>2508</v>
      </c>
      <c r="L396" s="8" t="s">
        <v>2509</v>
      </c>
      <c r="M396" s="9">
        <v>129.0</v>
      </c>
      <c r="N396" s="2" t="s">
        <v>2510</v>
      </c>
      <c r="O396" s="2" t="s">
        <v>56</v>
      </c>
      <c r="P396" s="11">
        <v>4.0</v>
      </c>
      <c r="Q396" s="3"/>
      <c r="R396" s="8" t="s">
        <v>2511</v>
      </c>
      <c r="S396" s="2" t="s">
        <v>28</v>
      </c>
    </row>
    <row r="397" ht="67.5" customHeight="1">
      <c r="A397" s="2" t="s">
        <v>2512</v>
      </c>
      <c r="B397" s="3" t="str">
        <f>IMAGE("https://image.tmdb.org/t/p/w342/q5BWxfL1x34nyYSvA3Qo5odleGW.jpg")</f>
        <v/>
      </c>
      <c r="C397" s="2" t="s">
        <v>2513</v>
      </c>
      <c r="D397" s="4">
        <v>34620.0</v>
      </c>
      <c r="E397" s="5">
        <v>1994.0</v>
      </c>
      <c r="F397" s="2" t="s">
        <v>21</v>
      </c>
      <c r="G397" s="6"/>
      <c r="H397" s="5">
        <v>11596.0</v>
      </c>
      <c r="I397" s="7">
        <v>6.455</v>
      </c>
      <c r="J397" s="2" t="s">
        <v>1533</v>
      </c>
      <c r="K397" s="2" t="s">
        <v>2514</v>
      </c>
      <c r="L397" s="8" t="s">
        <v>2515</v>
      </c>
      <c r="M397" s="9">
        <v>112.0</v>
      </c>
      <c r="N397" s="2" t="s">
        <v>2516</v>
      </c>
      <c r="O397" s="2" t="s">
        <v>56</v>
      </c>
      <c r="P397" s="11">
        <v>4.0</v>
      </c>
      <c r="Q397" s="3"/>
      <c r="R397" s="8" t="s">
        <v>2517</v>
      </c>
      <c r="S397" s="2" t="s">
        <v>28</v>
      </c>
    </row>
    <row r="398" ht="67.5" customHeight="1">
      <c r="A398" s="2" t="s">
        <v>2518</v>
      </c>
      <c r="B398" s="3" t="str">
        <f>IMAGE("https://image.tmdb.org/t/p/w342/iQ7G9LhP7NRRIUM4Vlai3eOxBAc.jpg")</f>
        <v/>
      </c>
      <c r="C398" s="2" t="s">
        <v>2519</v>
      </c>
      <c r="D398" s="4">
        <v>45204.0</v>
      </c>
      <c r="E398" s="5">
        <v>2023.0</v>
      </c>
      <c r="F398" s="2" t="s">
        <v>21</v>
      </c>
      <c r="G398" s="6"/>
      <c r="H398" s="5">
        <v>744857.0</v>
      </c>
      <c r="I398" s="7">
        <v>7.14</v>
      </c>
      <c r="J398" s="2" t="s">
        <v>39</v>
      </c>
      <c r="K398" s="2" t="s">
        <v>2520</v>
      </c>
      <c r="L398" s="8" t="s">
        <v>2521</v>
      </c>
      <c r="M398" s="9">
        <v>100.0</v>
      </c>
      <c r="N398" s="2" t="s">
        <v>2522</v>
      </c>
      <c r="O398" s="2" t="s">
        <v>56</v>
      </c>
      <c r="P398" s="11">
        <v>5.0</v>
      </c>
      <c r="Q398" s="3"/>
      <c r="R398" s="8" t="s">
        <v>2523</v>
      </c>
      <c r="S398" s="2" t="s">
        <v>28</v>
      </c>
    </row>
    <row r="399" ht="67.5" customHeight="1">
      <c r="A399" s="2" t="s">
        <v>2524</v>
      </c>
      <c r="B399" s="3" t="str">
        <f>IMAGE("https://image.tmdb.org/t/p/w342/6TeIVKPw7nXXWy2zKmDmlnSwzb7.jpg")</f>
        <v/>
      </c>
      <c r="C399" s="2" t="s">
        <v>2525</v>
      </c>
      <c r="D399" s="4">
        <v>41452.0</v>
      </c>
      <c r="E399" s="5">
        <v>2013.0</v>
      </c>
      <c r="F399" s="2" t="s">
        <v>21</v>
      </c>
      <c r="G399" s="6"/>
      <c r="H399" s="5">
        <v>117251.0</v>
      </c>
      <c r="I399" s="7">
        <v>6.5</v>
      </c>
      <c r="J399" s="2" t="s">
        <v>2526</v>
      </c>
      <c r="K399" s="2" t="s">
        <v>2527</v>
      </c>
      <c r="L399" s="8" t="s">
        <v>2528</v>
      </c>
      <c r="M399" s="9">
        <v>131.0</v>
      </c>
      <c r="N399" s="2" t="s">
        <v>2529</v>
      </c>
      <c r="O399" s="2" t="s">
        <v>26</v>
      </c>
      <c r="P399" s="10"/>
      <c r="Q399" s="3"/>
      <c r="R399" s="8" t="s">
        <v>2530</v>
      </c>
      <c r="S399" s="2" t="s">
        <v>28</v>
      </c>
    </row>
    <row r="400" ht="67.5" customHeight="1">
      <c r="A400" s="2" t="s">
        <v>2531</v>
      </c>
      <c r="B400" s="3" t="str">
        <f>IMAGE("https://image.tmdb.org/t/p/w342/xDGbZ0JJ3mYaGKy4Nzd9Kph6M9L.jpg")</f>
        <v/>
      </c>
      <c r="C400" s="2" t="s">
        <v>2532</v>
      </c>
      <c r="D400" s="4">
        <v>45581.0</v>
      </c>
      <c r="E400" s="5">
        <v>2024.0</v>
      </c>
      <c r="F400" s="2" t="s">
        <v>31</v>
      </c>
      <c r="G400" s="6"/>
      <c r="H400" s="5">
        <v>402431.0</v>
      </c>
      <c r="I400" s="7">
        <v>6.9</v>
      </c>
      <c r="J400" s="2" t="s">
        <v>2533</v>
      </c>
      <c r="K400" s="2" t="s">
        <v>2534</v>
      </c>
      <c r="L400" s="8" t="s">
        <v>2535</v>
      </c>
      <c r="M400" s="9">
        <v>162.0</v>
      </c>
      <c r="N400" s="2" t="s">
        <v>2536</v>
      </c>
      <c r="O400" s="2" t="s">
        <v>56</v>
      </c>
      <c r="P400" s="11">
        <v>3.0</v>
      </c>
      <c r="Q400" s="3"/>
      <c r="R400" s="8" t="s">
        <v>2537</v>
      </c>
      <c r="S400" s="2" t="s">
        <v>28</v>
      </c>
    </row>
    <row r="401" ht="67.5" customHeight="1">
      <c r="A401" s="2" t="s">
        <v>2538</v>
      </c>
      <c r="B401" s="3" t="str">
        <f>IMAGE("https://image.tmdb.org/t/p/w342/si9tolnefLSUKaqQEGz1bWArOaL.jpg")</f>
        <v/>
      </c>
      <c r="C401" s="2" t="s">
        <v>2539</v>
      </c>
      <c r="D401" s="4">
        <v>45980.0</v>
      </c>
      <c r="E401" s="5">
        <v>2025.0</v>
      </c>
      <c r="F401" s="2" t="s">
        <v>31</v>
      </c>
      <c r="G401" s="6"/>
      <c r="H401" s="5">
        <v>967941.0</v>
      </c>
      <c r="I401" s="7">
        <v>6.634</v>
      </c>
      <c r="J401" s="2" t="s">
        <v>2540</v>
      </c>
      <c r="K401" s="2" t="s">
        <v>2541</v>
      </c>
      <c r="L401" s="8" t="s">
        <v>2542</v>
      </c>
      <c r="M401" s="9">
        <v>137.0</v>
      </c>
      <c r="N401" s="2" t="s">
        <v>2543</v>
      </c>
      <c r="O401" s="2" t="s">
        <v>56</v>
      </c>
      <c r="P401" s="11">
        <v>2.0</v>
      </c>
      <c r="Q401" s="3"/>
      <c r="R401" s="8" t="s">
        <v>2544</v>
      </c>
      <c r="S401" s="2" t="s">
        <v>28</v>
      </c>
    </row>
    <row r="402" ht="67.5" customHeight="1">
      <c r="A402" s="2" t="s">
        <v>2545</v>
      </c>
      <c r="B402" s="3" t="str">
        <f>IMAGE("https://image.tmdb.org/t/p/w342/kW9LmvYHAaS9iA0tHmZVq8hQYoq.jpg")</f>
        <v/>
      </c>
      <c r="C402" s="2" t="s">
        <v>2546</v>
      </c>
      <c r="D402" s="4">
        <v>41633.0</v>
      </c>
      <c r="E402" s="5">
        <v>2013.0</v>
      </c>
      <c r="F402" s="2" t="s">
        <v>21</v>
      </c>
      <c r="G402" s="6"/>
      <c r="H402" s="5">
        <v>106646.0</v>
      </c>
      <c r="I402" s="7">
        <v>8.028</v>
      </c>
      <c r="J402" s="2" t="s">
        <v>2547</v>
      </c>
      <c r="K402" s="2" t="s">
        <v>2548</v>
      </c>
      <c r="L402" s="8" t="s">
        <v>2549</v>
      </c>
      <c r="M402" s="9">
        <v>180.0</v>
      </c>
      <c r="N402" s="2" t="s">
        <v>2550</v>
      </c>
      <c r="O402" s="2" t="s">
        <v>56</v>
      </c>
      <c r="P402" s="11">
        <v>5.0</v>
      </c>
      <c r="Q402" s="3"/>
      <c r="R402" s="8" t="s">
        <v>2551</v>
      </c>
      <c r="S402" s="2" t="s">
        <v>28</v>
      </c>
    </row>
    <row r="403" ht="67.5" customHeight="1">
      <c r="A403" s="2" t="s">
        <v>2552</v>
      </c>
      <c r="B403" s="3" t="str">
        <f>IMAGE("https://image.tmdb.org/t/p/w342/12G5V0dTmljnv7RFMT144dJ2chh.jpg")</f>
        <v/>
      </c>
      <c r="C403" s="2" t="s">
        <v>2553</v>
      </c>
      <c r="D403" s="4">
        <v>37771.0</v>
      </c>
      <c r="E403" s="5">
        <v>2003.0</v>
      </c>
      <c r="F403" s="2" t="s">
        <v>21</v>
      </c>
      <c r="G403" s="6"/>
      <c r="H403" s="5">
        <v>9902.0</v>
      </c>
      <c r="I403" s="7">
        <v>6.387</v>
      </c>
      <c r="J403" s="2" t="s">
        <v>39</v>
      </c>
      <c r="K403" s="2" t="s">
        <v>2554</v>
      </c>
      <c r="L403" s="8" t="s">
        <v>2555</v>
      </c>
      <c r="M403" s="9">
        <v>84.0</v>
      </c>
      <c r="N403" s="2" t="s">
        <v>2556</v>
      </c>
      <c r="O403" s="2" t="s">
        <v>56</v>
      </c>
      <c r="P403" s="11">
        <v>4.0</v>
      </c>
      <c r="Q403" s="3"/>
      <c r="R403" s="8" t="s">
        <v>2557</v>
      </c>
      <c r="S403" s="2" t="s">
        <v>28</v>
      </c>
    </row>
    <row r="404" ht="67.5" customHeight="1">
      <c r="A404" s="2" t="s">
        <v>2558</v>
      </c>
      <c r="B404" s="3" t="str">
        <f>IMAGE("https://image.tmdb.org/t/p/w342/ow3IMhTVLryZuCEoQznVTTmFYuu.jpg")</f>
        <v/>
      </c>
      <c r="C404" s="2" t="s">
        <v>2559</v>
      </c>
      <c r="D404" s="4">
        <v>39319.0</v>
      </c>
      <c r="E404" s="5">
        <v>2007.0</v>
      </c>
      <c r="F404" s="2" t="s">
        <v>21</v>
      </c>
      <c r="G404" s="6"/>
      <c r="H404" s="5">
        <v>13186.0</v>
      </c>
      <c r="I404" s="7">
        <v>6.141</v>
      </c>
      <c r="J404" s="2" t="s">
        <v>39</v>
      </c>
      <c r="K404" s="2" t="s">
        <v>2560</v>
      </c>
      <c r="L404" s="8" t="s">
        <v>2561</v>
      </c>
      <c r="M404" s="9">
        <v>97.0</v>
      </c>
      <c r="N404" s="2" t="s">
        <v>2562</v>
      </c>
      <c r="O404" s="2" t="s">
        <v>56</v>
      </c>
      <c r="P404" s="11">
        <v>3.0</v>
      </c>
      <c r="Q404" s="3"/>
      <c r="R404" s="8" t="s">
        <v>2563</v>
      </c>
      <c r="S404" s="2" t="s">
        <v>28</v>
      </c>
    </row>
    <row r="405" ht="67.5" customHeight="1">
      <c r="A405" s="2" t="s">
        <v>2564</v>
      </c>
      <c r="B405" s="3" t="str">
        <f>IMAGE("https://image.tmdb.org/t/p/w342/84s4LMWuGbm4xPWW5PSbHyQhh33.jpg")</f>
        <v/>
      </c>
      <c r="C405" s="2" t="s">
        <v>2565</v>
      </c>
      <c r="D405" s="4">
        <v>40094.0</v>
      </c>
      <c r="E405" s="5">
        <v>2009.0</v>
      </c>
      <c r="F405" s="2" t="s">
        <v>21</v>
      </c>
      <c r="G405" s="6"/>
      <c r="H405" s="5">
        <v>23823.0</v>
      </c>
      <c r="I405" s="7">
        <v>5.705</v>
      </c>
      <c r="J405" s="2" t="s">
        <v>39</v>
      </c>
      <c r="K405" s="2" t="s">
        <v>2566</v>
      </c>
      <c r="L405" s="8" t="s">
        <v>2567</v>
      </c>
      <c r="M405" s="9">
        <v>91.0</v>
      </c>
      <c r="N405" s="2" t="s">
        <v>2568</v>
      </c>
      <c r="O405" s="2" t="s">
        <v>56</v>
      </c>
      <c r="P405" s="11">
        <v>2.0</v>
      </c>
      <c r="Q405" s="3"/>
      <c r="R405" s="8" t="s">
        <v>2569</v>
      </c>
      <c r="S405" s="2" t="s">
        <v>28</v>
      </c>
    </row>
    <row r="406" ht="67.5" customHeight="1">
      <c r="A406" s="2" t="s">
        <v>2570</v>
      </c>
      <c r="B406" s="3" t="str">
        <f>IMAGE("https://image.tmdb.org/t/p/w342/l1vD4GY7tlT420KJ3xWTzyQ2Aa9.jpg")</f>
        <v/>
      </c>
      <c r="C406" s="2" t="s">
        <v>2571</v>
      </c>
      <c r="D406" s="4">
        <v>40833.0</v>
      </c>
      <c r="E406" s="5">
        <v>2011.0</v>
      </c>
      <c r="F406" s="2" t="s">
        <v>21</v>
      </c>
      <c r="G406" s="6"/>
      <c r="H406" s="5">
        <v>71672.0</v>
      </c>
      <c r="I406" s="7">
        <v>5.74</v>
      </c>
      <c r="J406" s="2" t="s">
        <v>39</v>
      </c>
      <c r="K406" s="2" t="s">
        <v>2572</v>
      </c>
      <c r="L406" s="8" t="s">
        <v>2573</v>
      </c>
      <c r="M406" s="9">
        <v>93.0</v>
      </c>
      <c r="N406" s="2" t="s">
        <v>2574</v>
      </c>
      <c r="O406" s="2" t="s">
        <v>56</v>
      </c>
      <c r="P406" s="11">
        <v>2.0</v>
      </c>
      <c r="Q406" s="3"/>
      <c r="R406" s="8" t="s">
        <v>2575</v>
      </c>
      <c r="S406" s="2" t="s">
        <v>28</v>
      </c>
    </row>
    <row r="407" ht="67.5" customHeight="1">
      <c r="A407" s="2" t="s">
        <v>2576</v>
      </c>
      <c r="B407" s="3" t="str">
        <f>IMAGE("https://image.tmdb.org/t/p/w342/8fABep8FSRpeo8Ea4j3rfnoVgkg.jpg")</f>
        <v/>
      </c>
      <c r="C407" s="2" t="s">
        <v>2577</v>
      </c>
      <c r="D407" s="4">
        <v>41200.0</v>
      </c>
      <c r="E407" s="5">
        <v>2012.0</v>
      </c>
      <c r="F407" s="2" t="s">
        <v>21</v>
      </c>
      <c r="G407" s="6"/>
      <c r="H407" s="5">
        <v>125509.0</v>
      </c>
      <c r="I407" s="7">
        <v>5.485</v>
      </c>
      <c r="J407" s="2" t="s">
        <v>39</v>
      </c>
      <c r="K407" s="2" t="s">
        <v>2578</v>
      </c>
      <c r="L407" s="8" t="s">
        <v>2579</v>
      </c>
      <c r="M407" s="9">
        <v>91.0</v>
      </c>
      <c r="N407" s="2" t="s">
        <v>2580</v>
      </c>
      <c r="O407" s="2" t="s">
        <v>56</v>
      </c>
      <c r="P407" s="11">
        <v>2.0</v>
      </c>
      <c r="Q407" s="3"/>
      <c r="R407" s="8" t="s">
        <v>2581</v>
      </c>
      <c r="S407" s="2" t="s">
        <v>28</v>
      </c>
    </row>
    <row r="408" ht="67.5" customHeight="1">
      <c r="A408" s="2" t="s">
        <v>2582</v>
      </c>
      <c r="B408" s="3" t="str">
        <f>IMAGE("https://image.tmdb.org/t/p/w342/lopZSVtXzhFY603E9OqF7O1YKsh.jpg")</f>
        <v/>
      </c>
      <c r="C408" s="2" t="s">
        <v>2583</v>
      </c>
      <c r="D408" s="4">
        <v>44637.0</v>
      </c>
      <c r="E408" s="5">
        <v>2022.0</v>
      </c>
      <c r="F408" s="2" t="s">
        <v>21</v>
      </c>
      <c r="G408" s="6"/>
      <c r="H408" s="5">
        <v>760104.0</v>
      </c>
      <c r="I408" s="7">
        <v>6.717</v>
      </c>
      <c r="J408" s="2" t="s">
        <v>93</v>
      </c>
      <c r="K408" s="2" t="s">
        <v>2584</v>
      </c>
      <c r="L408" s="8" t="s">
        <v>2585</v>
      </c>
      <c r="M408" s="9">
        <v>106.0</v>
      </c>
      <c r="N408" s="2" t="s">
        <v>2586</v>
      </c>
      <c r="O408" s="2" t="s">
        <v>56</v>
      </c>
      <c r="P408" s="11">
        <v>4.0</v>
      </c>
      <c r="Q408" s="3"/>
      <c r="R408" s="8" t="s">
        <v>2587</v>
      </c>
      <c r="S408" s="2" t="s">
        <v>28</v>
      </c>
    </row>
    <row r="409" ht="67.5" customHeight="1">
      <c r="A409" s="2" t="s">
        <v>2588</v>
      </c>
      <c r="B409" s="3" t="str">
        <f>IMAGE("https://image.tmdb.org/t/p/w342/8Vk2nQF1kY34x53YnWd5zDaTht.jpg")</f>
        <v/>
      </c>
      <c r="C409" s="2" t="s">
        <v>2589</v>
      </c>
      <c r="D409" s="4">
        <v>39791.0</v>
      </c>
      <c r="E409" s="5">
        <v>2008.0</v>
      </c>
      <c r="F409" s="2" t="s">
        <v>21</v>
      </c>
      <c r="G409" s="6"/>
      <c r="H409" s="5">
        <v>10201.0</v>
      </c>
      <c r="I409" s="7">
        <v>6.693</v>
      </c>
      <c r="J409" s="2" t="s">
        <v>60</v>
      </c>
      <c r="K409" s="2" t="s">
        <v>2590</v>
      </c>
      <c r="L409" s="8" t="s">
        <v>2591</v>
      </c>
      <c r="M409" s="9">
        <v>104.0</v>
      </c>
      <c r="N409" s="2" t="s">
        <v>2592</v>
      </c>
      <c r="O409" s="2" t="s">
        <v>56</v>
      </c>
      <c r="P409" s="11">
        <v>3.0</v>
      </c>
      <c r="Q409" s="3"/>
      <c r="R409" s="8" t="s">
        <v>2593</v>
      </c>
      <c r="S409" s="2" t="s">
        <v>28</v>
      </c>
    </row>
    <row r="410" ht="67.5" customHeight="1">
      <c r="A410" s="2" t="s">
        <v>2594</v>
      </c>
      <c r="B410" s="3" t="str">
        <f>IMAGE("https://image.tmdb.org/t/p/w342/6YmeO4pB7XTh8P8F960O1uA14JO.jpg")</f>
        <v/>
      </c>
      <c r="C410" s="2" t="s">
        <v>2595</v>
      </c>
      <c r="D410" s="4">
        <v>39143.0</v>
      </c>
      <c r="E410" s="5">
        <v>2007.0</v>
      </c>
      <c r="F410" s="2" t="s">
        <v>21</v>
      </c>
      <c r="G410" s="6"/>
      <c r="H410" s="5">
        <v>1949.0</v>
      </c>
      <c r="I410" s="7">
        <v>7.5</v>
      </c>
      <c r="J410" s="2" t="s">
        <v>2596</v>
      </c>
      <c r="K410" s="2" t="s">
        <v>2597</v>
      </c>
      <c r="L410" s="8" t="s">
        <v>2598</v>
      </c>
      <c r="M410" s="9">
        <v>157.0</v>
      </c>
      <c r="N410" s="2" t="s">
        <v>2599</v>
      </c>
      <c r="O410" s="2" t="s">
        <v>56</v>
      </c>
      <c r="P410" s="11">
        <v>5.0</v>
      </c>
      <c r="Q410" s="3"/>
      <c r="R410" s="8" t="s">
        <v>2600</v>
      </c>
      <c r="S410" s="2" t="s">
        <v>28</v>
      </c>
    </row>
    <row r="411" ht="67.5" customHeight="1">
      <c r="A411" s="2" t="s">
        <v>2601</v>
      </c>
      <c r="B411" s="3" t="str">
        <f>IMAGE("https://image.tmdb.org/t/p/w342/dUkAmAyPVqubSBNRjRqCgHggZcK.jpg")</f>
        <v/>
      </c>
      <c r="C411" s="2" t="s">
        <v>2602</v>
      </c>
      <c r="D411" s="4">
        <v>40088.0</v>
      </c>
      <c r="E411" s="5">
        <v>2009.0</v>
      </c>
      <c r="F411" s="2" t="s">
        <v>21</v>
      </c>
      <c r="G411" s="6"/>
      <c r="H411" s="5">
        <v>19908.0</v>
      </c>
      <c r="I411" s="7">
        <v>7.259</v>
      </c>
      <c r="J411" s="2" t="s">
        <v>265</v>
      </c>
      <c r="K411" s="2" t="s">
        <v>2603</v>
      </c>
      <c r="L411" s="8" t="s">
        <v>2604</v>
      </c>
      <c r="M411" s="9">
        <v>87.0</v>
      </c>
      <c r="N411" s="2" t="s">
        <v>2605</v>
      </c>
      <c r="O411" s="2" t="s">
        <v>56</v>
      </c>
      <c r="P411" s="11">
        <v>5.0</v>
      </c>
      <c r="Q411" s="3"/>
      <c r="R411" s="8" t="s">
        <v>2606</v>
      </c>
      <c r="S411" s="2" t="s">
        <v>28</v>
      </c>
    </row>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sheetData>
  <conditionalFormatting sqref="O2:O411">
    <cfRule type="expression" dxfId="4" priority="1">
      <formula>$O2="Watched"</formula>
    </cfRule>
  </conditionalFormatting>
  <conditionalFormatting sqref="O2:O411">
    <cfRule type="expression" dxfId="5" priority="2">
      <formula>$O2="Unwatched"</formula>
    </cfRule>
  </conditionalFormatting>
  <dataValidations>
    <dataValidation type="list" allowBlank="1" sqref="P2:P411">
      <formula1>"1,2,3,4,5"</formula1>
    </dataValidation>
    <dataValidation type="list" allowBlank="1" showErrorMessage="1" sqref="Q410">
      <formula1>"Option 1,Option 2"</formula1>
    </dataValidation>
    <dataValidation type="list" allowBlank="1" sqref="O2:O411">
      <formula1>"Watched,Unwatched,In Progress"</formula1>
    </dataValidation>
  </dataValidations>
  <hyperlinks>
    <hyperlink r:id="rId1" ref="L2"/>
    <hyperlink r:id="rId2" ref="R2"/>
    <hyperlink r:id="rId3" ref="L3"/>
    <hyperlink r:id="rId4" ref="R3"/>
    <hyperlink r:id="rId5" ref="L4"/>
    <hyperlink r:id="rId6" ref="R4"/>
    <hyperlink r:id="rId7" ref="L5"/>
    <hyperlink r:id="rId8" ref="R5"/>
    <hyperlink r:id="rId9" ref="L6"/>
    <hyperlink r:id="rId10" ref="R6"/>
    <hyperlink r:id="rId11" ref="L7"/>
    <hyperlink r:id="rId12" ref="R7"/>
    <hyperlink r:id="rId13" ref="L8"/>
    <hyperlink r:id="rId14" ref="R8"/>
    <hyperlink r:id="rId15" ref="L9"/>
    <hyperlink r:id="rId16" ref="R9"/>
    <hyperlink r:id="rId17" ref="L10"/>
    <hyperlink r:id="rId18" ref="R10"/>
    <hyperlink r:id="rId19" ref="L11"/>
    <hyperlink r:id="rId20" ref="R11"/>
    <hyperlink r:id="rId21" ref="L12"/>
    <hyperlink r:id="rId22" ref="R12"/>
    <hyperlink r:id="rId23" ref="L13"/>
    <hyperlink r:id="rId24" ref="R13"/>
    <hyperlink r:id="rId25" ref="L14"/>
    <hyperlink r:id="rId26" ref="R14"/>
    <hyperlink r:id="rId27" ref="L15"/>
    <hyperlink r:id="rId28" ref="R15"/>
    <hyperlink r:id="rId29" ref="L16"/>
    <hyperlink r:id="rId30" ref="R16"/>
    <hyperlink r:id="rId31" ref="L17"/>
    <hyperlink r:id="rId32" ref="R17"/>
    <hyperlink r:id="rId33" ref="L18"/>
    <hyperlink r:id="rId34" ref="R18"/>
    <hyperlink r:id="rId35" ref="L19"/>
    <hyperlink r:id="rId36" ref="R19"/>
    <hyperlink r:id="rId37" ref="L20"/>
    <hyperlink r:id="rId38" ref="R20"/>
    <hyperlink r:id="rId39" ref="L21"/>
    <hyperlink r:id="rId40" ref="R21"/>
    <hyperlink r:id="rId41" ref="L22"/>
    <hyperlink r:id="rId42" ref="R22"/>
    <hyperlink r:id="rId43" ref="L23"/>
    <hyperlink r:id="rId44" ref="R23"/>
    <hyperlink r:id="rId45" ref="L24"/>
    <hyperlink r:id="rId46" ref="R24"/>
    <hyperlink r:id="rId47" ref="L25"/>
    <hyperlink r:id="rId48" ref="R25"/>
    <hyperlink r:id="rId49" ref="L26"/>
    <hyperlink r:id="rId50" ref="R26"/>
    <hyperlink r:id="rId51" ref="L27"/>
    <hyperlink r:id="rId52" ref="R27"/>
    <hyperlink r:id="rId53" ref="L28"/>
    <hyperlink r:id="rId54" ref="R28"/>
    <hyperlink r:id="rId55" ref="L29"/>
    <hyperlink r:id="rId56" ref="R29"/>
    <hyperlink r:id="rId57" ref="L30"/>
    <hyperlink r:id="rId58" ref="R30"/>
    <hyperlink r:id="rId59" ref="L31"/>
    <hyperlink r:id="rId60" ref="R31"/>
    <hyperlink r:id="rId61" ref="L32"/>
    <hyperlink r:id="rId62" ref="R32"/>
    <hyperlink r:id="rId63" ref="L33"/>
    <hyperlink r:id="rId64" ref="R33"/>
    <hyperlink r:id="rId65" ref="L34"/>
    <hyperlink r:id="rId66" ref="R34"/>
    <hyperlink r:id="rId67" ref="L35"/>
    <hyperlink r:id="rId68" ref="R35"/>
    <hyperlink r:id="rId69" ref="L36"/>
    <hyperlink r:id="rId70" ref="R36"/>
    <hyperlink r:id="rId71" ref="L37"/>
    <hyperlink r:id="rId72" ref="R37"/>
    <hyperlink r:id="rId73" ref="L38"/>
    <hyperlink r:id="rId74" ref="R38"/>
    <hyperlink r:id="rId75" ref="L40"/>
    <hyperlink r:id="rId76" ref="R40"/>
    <hyperlink r:id="rId77" ref="L41"/>
    <hyperlink r:id="rId78" ref="R41"/>
    <hyperlink r:id="rId79" ref="L42"/>
    <hyperlink r:id="rId80" ref="R42"/>
    <hyperlink r:id="rId81" ref="L43"/>
    <hyperlink r:id="rId82" ref="R43"/>
    <hyperlink r:id="rId83" ref="L44"/>
    <hyperlink r:id="rId84" ref="R44"/>
    <hyperlink r:id="rId85" ref="L45"/>
    <hyperlink r:id="rId86" ref="R45"/>
    <hyperlink r:id="rId87" ref="L46"/>
    <hyperlink r:id="rId88" ref="R46"/>
    <hyperlink r:id="rId89" ref="L47"/>
    <hyperlink r:id="rId90" ref="R47"/>
    <hyperlink r:id="rId91" ref="L48"/>
    <hyperlink r:id="rId92" ref="R48"/>
    <hyperlink r:id="rId93" ref="L49"/>
    <hyperlink r:id="rId94" ref="R49"/>
    <hyperlink r:id="rId95" ref="L50"/>
    <hyperlink r:id="rId96" ref="R50"/>
    <hyperlink r:id="rId97" ref="L51"/>
    <hyperlink r:id="rId98" ref="R51"/>
    <hyperlink r:id="rId99" ref="L52"/>
    <hyperlink r:id="rId100" ref="R52"/>
    <hyperlink r:id="rId101" ref="L53"/>
    <hyperlink r:id="rId102" ref="R53"/>
    <hyperlink r:id="rId103" ref="L54"/>
    <hyperlink r:id="rId104" ref="R54"/>
    <hyperlink r:id="rId105" ref="L55"/>
    <hyperlink r:id="rId106" ref="R55"/>
    <hyperlink r:id="rId107" ref="L56"/>
    <hyperlink r:id="rId108" ref="R56"/>
    <hyperlink r:id="rId109" ref="L57"/>
    <hyperlink r:id="rId110" ref="R57"/>
    <hyperlink r:id="rId111" ref="L58"/>
    <hyperlink r:id="rId112" ref="R58"/>
    <hyperlink r:id="rId113" ref="L59"/>
    <hyperlink r:id="rId114" ref="R59"/>
    <hyperlink r:id="rId115" ref="L60"/>
    <hyperlink r:id="rId116" ref="R60"/>
    <hyperlink r:id="rId117" ref="L61"/>
    <hyperlink r:id="rId118" ref="R61"/>
    <hyperlink r:id="rId119" ref="L62"/>
    <hyperlink r:id="rId120" ref="R62"/>
    <hyperlink r:id="rId121" ref="L63"/>
    <hyperlink r:id="rId122" ref="R63"/>
    <hyperlink r:id="rId123" ref="L64"/>
    <hyperlink r:id="rId124" ref="R64"/>
    <hyperlink r:id="rId125" ref="L65"/>
    <hyperlink r:id="rId126" ref="R65"/>
    <hyperlink r:id="rId127" ref="L66"/>
    <hyperlink r:id="rId128" ref="R66"/>
    <hyperlink r:id="rId129" ref="L67"/>
    <hyperlink r:id="rId130" ref="R67"/>
    <hyperlink r:id="rId131" ref="L68"/>
    <hyperlink r:id="rId132" ref="R68"/>
    <hyperlink r:id="rId133" ref="L69"/>
    <hyperlink r:id="rId134" ref="R69"/>
    <hyperlink r:id="rId135" ref="L71"/>
    <hyperlink r:id="rId136" ref="R71"/>
    <hyperlink r:id="rId137" ref="L72"/>
    <hyperlink r:id="rId138" ref="R72"/>
    <hyperlink r:id="rId139" ref="L73"/>
    <hyperlink r:id="rId140" ref="R73"/>
    <hyperlink r:id="rId141" ref="L74"/>
    <hyperlink r:id="rId142" ref="R74"/>
    <hyperlink r:id="rId143" ref="L75"/>
    <hyperlink r:id="rId144" ref="R75"/>
    <hyperlink r:id="rId145" ref="L76"/>
    <hyperlink r:id="rId146" ref="R76"/>
    <hyperlink r:id="rId147" ref="L77"/>
    <hyperlink r:id="rId148" ref="R77"/>
    <hyperlink r:id="rId149" ref="L78"/>
    <hyperlink r:id="rId150" ref="R78"/>
    <hyperlink r:id="rId151" ref="L79"/>
    <hyperlink r:id="rId152" ref="R79"/>
    <hyperlink r:id="rId153" ref="L80"/>
    <hyperlink r:id="rId154" ref="R80"/>
    <hyperlink r:id="rId155" ref="L81"/>
    <hyperlink r:id="rId156" ref="R81"/>
    <hyperlink r:id="rId157" ref="L82"/>
    <hyperlink r:id="rId158" ref="R82"/>
    <hyperlink r:id="rId159" ref="L83"/>
    <hyperlink r:id="rId160" ref="R83"/>
    <hyperlink r:id="rId161" ref="L84"/>
    <hyperlink r:id="rId162" ref="R84"/>
    <hyperlink r:id="rId163" ref="L85"/>
    <hyperlink r:id="rId164" ref="R85"/>
    <hyperlink r:id="rId165" ref="L86"/>
    <hyperlink r:id="rId166" ref="R86"/>
    <hyperlink r:id="rId167" ref="L87"/>
    <hyperlink r:id="rId168" ref="R87"/>
    <hyperlink r:id="rId169" ref="L88"/>
    <hyperlink r:id="rId170" ref="R88"/>
    <hyperlink r:id="rId171" ref="L89"/>
    <hyperlink r:id="rId172" ref="R89"/>
    <hyperlink r:id="rId173" ref="L90"/>
    <hyperlink r:id="rId174" ref="R90"/>
    <hyperlink r:id="rId175" ref="L91"/>
    <hyperlink r:id="rId176" ref="R91"/>
    <hyperlink r:id="rId177" ref="L92"/>
    <hyperlink r:id="rId178" ref="R92"/>
    <hyperlink r:id="rId179" ref="L93"/>
    <hyperlink r:id="rId180" ref="R93"/>
    <hyperlink r:id="rId181" ref="L94"/>
    <hyperlink r:id="rId182" ref="R94"/>
    <hyperlink r:id="rId183" ref="L95"/>
    <hyperlink r:id="rId184" ref="R95"/>
    <hyperlink r:id="rId185" ref="L96"/>
    <hyperlink r:id="rId186" ref="R96"/>
    <hyperlink r:id="rId187" ref="L97"/>
    <hyperlink r:id="rId188" ref="R97"/>
    <hyperlink r:id="rId189" ref="L98"/>
    <hyperlink r:id="rId190" ref="R98"/>
    <hyperlink r:id="rId191" ref="L99"/>
    <hyperlink r:id="rId192" ref="R99"/>
    <hyperlink r:id="rId193" ref="L100"/>
    <hyperlink r:id="rId194" ref="R100"/>
    <hyperlink r:id="rId195" ref="L101"/>
    <hyperlink r:id="rId196" ref="R101"/>
    <hyperlink r:id="rId197" ref="L102"/>
    <hyperlink r:id="rId198" ref="R102"/>
    <hyperlink r:id="rId199" ref="L103"/>
    <hyperlink r:id="rId200" ref="R103"/>
    <hyperlink r:id="rId201" ref="L104"/>
    <hyperlink r:id="rId202" ref="R104"/>
    <hyperlink r:id="rId203" ref="L105"/>
    <hyperlink r:id="rId204" ref="R105"/>
    <hyperlink r:id="rId205" ref="L106"/>
    <hyperlink r:id="rId206" ref="R106"/>
    <hyperlink r:id="rId207" ref="L107"/>
    <hyperlink r:id="rId208" ref="R107"/>
    <hyperlink r:id="rId209" ref="L108"/>
    <hyperlink r:id="rId210" ref="R108"/>
    <hyperlink r:id="rId211" ref="L109"/>
    <hyperlink r:id="rId212" ref="R109"/>
    <hyperlink r:id="rId213" ref="L110"/>
    <hyperlink r:id="rId214" ref="R110"/>
    <hyperlink r:id="rId215" ref="L111"/>
    <hyperlink r:id="rId216" ref="R111"/>
    <hyperlink r:id="rId217" ref="L112"/>
    <hyperlink r:id="rId218" ref="R112"/>
    <hyperlink r:id="rId219" ref="L113"/>
    <hyperlink r:id="rId220" ref="R113"/>
    <hyperlink r:id="rId221" ref="L114"/>
    <hyperlink r:id="rId222" ref="R114"/>
    <hyperlink r:id="rId223" ref="L115"/>
    <hyperlink r:id="rId224" ref="R115"/>
    <hyperlink r:id="rId225" ref="L116"/>
    <hyperlink r:id="rId226" ref="R116"/>
    <hyperlink r:id="rId227" ref="L117"/>
    <hyperlink r:id="rId228" ref="R117"/>
    <hyperlink r:id="rId229" ref="L118"/>
    <hyperlink r:id="rId230" ref="R118"/>
    <hyperlink r:id="rId231" ref="L119"/>
    <hyperlink r:id="rId232" ref="R119"/>
    <hyperlink r:id="rId233" ref="L120"/>
    <hyperlink r:id="rId234" ref="R120"/>
    <hyperlink r:id="rId235" ref="L121"/>
    <hyperlink r:id="rId236" ref="R121"/>
    <hyperlink r:id="rId237" ref="L122"/>
    <hyperlink r:id="rId238" ref="R122"/>
    <hyperlink r:id="rId239" ref="L123"/>
    <hyperlink r:id="rId240" ref="R123"/>
    <hyperlink r:id="rId241" ref="L124"/>
    <hyperlink r:id="rId242" ref="R124"/>
    <hyperlink r:id="rId243" ref="L125"/>
    <hyperlink r:id="rId244" ref="R125"/>
    <hyperlink r:id="rId245" ref="L126"/>
    <hyperlink r:id="rId246" ref="R126"/>
    <hyperlink r:id="rId247" ref="L127"/>
    <hyperlink r:id="rId248" ref="R127"/>
    <hyperlink r:id="rId249" ref="L128"/>
    <hyperlink r:id="rId250" ref="R128"/>
    <hyperlink r:id="rId251" ref="L129"/>
    <hyperlink r:id="rId252" ref="R129"/>
    <hyperlink r:id="rId253" ref="L130"/>
    <hyperlink r:id="rId254" ref="R130"/>
    <hyperlink r:id="rId255" ref="L131"/>
    <hyperlink r:id="rId256" ref="R131"/>
    <hyperlink r:id="rId257" ref="L132"/>
    <hyperlink r:id="rId258" ref="R132"/>
    <hyperlink r:id="rId259" ref="L133"/>
    <hyperlink r:id="rId260" ref="R133"/>
    <hyperlink r:id="rId261" ref="L134"/>
    <hyperlink r:id="rId262" ref="R134"/>
    <hyperlink r:id="rId263" ref="L135"/>
    <hyperlink r:id="rId264" ref="R135"/>
    <hyperlink r:id="rId265" ref="L136"/>
    <hyperlink r:id="rId266" ref="R136"/>
    <hyperlink r:id="rId267" ref="L137"/>
    <hyperlink r:id="rId268" ref="R137"/>
    <hyperlink r:id="rId269" ref="L138"/>
    <hyperlink r:id="rId270" ref="R138"/>
    <hyperlink r:id="rId271" ref="L139"/>
    <hyperlink r:id="rId272" ref="R139"/>
    <hyperlink r:id="rId273" ref="L140"/>
    <hyperlink r:id="rId274" ref="R140"/>
    <hyperlink r:id="rId275" ref="L141"/>
    <hyperlink r:id="rId276" ref="R141"/>
    <hyperlink r:id="rId277" ref="L142"/>
    <hyperlink r:id="rId278" ref="R142"/>
    <hyperlink r:id="rId279" ref="L143"/>
    <hyperlink r:id="rId280" ref="R143"/>
    <hyperlink r:id="rId281" ref="L144"/>
    <hyperlink r:id="rId282" ref="R144"/>
    <hyperlink r:id="rId283" ref="L145"/>
    <hyperlink r:id="rId284" ref="R145"/>
    <hyperlink r:id="rId285" ref="L146"/>
    <hyperlink r:id="rId286" ref="R146"/>
    <hyperlink r:id="rId287" ref="L147"/>
    <hyperlink r:id="rId288" ref="R147"/>
    <hyperlink r:id="rId289" ref="L148"/>
    <hyperlink r:id="rId290" ref="R148"/>
    <hyperlink r:id="rId291" ref="L149"/>
    <hyperlink r:id="rId292" ref="R149"/>
    <hyperlink r:id="rId293" ref="L152"/>
    <hyperlink r:id="rId294" ref="R152"/>
    <hyperlink r:id="rId295" ref="L153"/>
    <hyperlink r:id="rId296" ref="R153"/>
    <hyperlink r:id="rId297" ref="L154"/>
    <hyperlink r:id="rId298" ref="R154"/>
    <hyperlink r:id="rId299" ref="L155"/>
    <hyperlink r:id="rId300" ref="R155"/>
    <hyperlink r:id="rId301" ref="L156"/>
    <hyperlink r:id="rId302" ref="R156"/>
    <hyperlink r:id="rId303" ref="L157"/>
    <hyperlink r:id="rId304" ref="R157"/>
    <hyperlink r:id="rId305" ref="L158"/>
    <hyperlink r:id="rId306" ref="R158"/>
    <hyperlink r:id="rId307" ref="L159"/>
    <hyperlink r:id="rId308" ref="R159"/>
    <hyperlink r:id="rId309" ref="L160"/>
    <hyperlink r:id="rId310" ref="R160"/>
    <hyperlink r:id="rId311" ref="L161"/>
    <hyperlink r:id="rId312" ref="R161"/>
    <hyperlink r:id="rId313" ref="L162"/>
    <hyperlink r:id="rId314" ref="R162"/>
    <hyperlink r:id="rId315" ref="L163"/>
    <hyperlink r:id="rId316" ref="R163"/>
    <hyperlink r:id="rId317" ref="L164"/>
    <hyperlink r:id="rId318" ref="R164"/>
    <hyperlink r:id="rId319" ref="L165"/>
    <hyperlink r:id="rId320" ref="R165"/>
    <hyperlink r:id="rId321" ref="L166"/>
    <hyperlink r:id="rId322" ref="R166"/>
    <hyperlink r:id="rId323" ref="L167"/>
    <hyperlink r:id="rId324" ref="R167"/>
    <hyperlink r:id="rId325" ref="L168"/>
    <hyperlink r:id="rId326" ref="R168"/>
    <hyperlink r:id="rId327" ref="L169"/>
    <hyperlink r:id="rId328" ref="R169"/>
    <hyperlink r:id="rId329" ref="L170"/>
    <hyperlink r:id="rId330" ref="R170"/>
    <hyperlink r:id="rId331" ref="L171"/>
    <hyperlink r:id="rId332" ref="R171"/>
    <hyperlink r:id="rId333" ref="L172"/>
    <hyperlink r:id="rId334" ref="R172"/>
    <hyperlink r:id="rId335" ref="L173"/>
    <hyperlink r:id="rId336" ref="R173"/>
    <hyperlink r:id="rId337" ref="L174"/>
    <hyperlink r:id="rId338" ref="R174"/>
    <hyperlink r:id="rId339" ref="L175"/>
    <hyperlink r:id="rId340" ref="R175"/>
    <hyperlink r:id="rId341" ref="L176"/>
    <hyperlink r:id="rId342" ref="R176"/>
    <hyperlink r:id="rId343" ref="L177"/>
    <hyperlink r:id="rId344" ref="R177"/>
    <hyperlink r:id="rId345" ref="L178"/>
    <hyperlink r:id="rId346" ref="R178"/>
    <hyperlink r:id="rId347" ref="L179"/>
    <hyperlink r:id="rId348" ref="R179"/>
    <hyperlink r:id="rId349" ref="L180"/>
    <hyperlink r:id="rId350" ref="R180"/>
    <hyperlink r:id="rId351" ref="L181"/>
    <hyperlink r:id="rId352" ref="R181"/>
    <hyperlink r:id="rId353" ref="L182"/>
    <hyperlink r:id="rId354" ref="R182"/>
    <hyperlink r:id="rId355" ref="L183"/>
    <hyperlink r:id="rId356" ref="R183"/>
    <hyperlink r:id="rId357" ref="L184"/>
    <hyperlink r:id="rId358" ref="R184"/>
    <hyperlink r:id="rId359" ref="L185"/>
    <hyperlink r:id="rId360" ref="R185"/>
    <hyperlink r:id="rId361" ref="L186"/>
    <hyperlink r:id="rId362" ref="R186"/>
    <hyperlink r:id="rId363" ref="L187"/>
    <hyperlink r:id="rId364" ref="R187"/>
    <hyperlink r:id="rId365" ref="L188"/>
    <hyperlink r:id="rId366" ref="R188"/>
    <hyperlink r:id="rId367" ref="L189"/>
    <hyperlink r:id="rId368" ref="R189"/>
    <hyperlink r:id="rId369" ref="L190"/>
    <hyperlink r:id="rId370" ref="R190"/>
    <hyperlink r:id="rId371" ref="L191"/>
    <hyperlink r:id="rId372" ref="R191"/>
    <hyperlink r:id="rId373" ref="L192"/>
    <hyperlink r:id="rId374" ref="R192"/>
    <hyperlink r:id="rId375" ref="L193"/>
    <hyperlink r:id="rId376" ref="R193"/>
    <hyperlink r:id="rId377" ref="L194"/>
    <hyperlink r:id="rId378" ref="R194"/>
    <hyperlink r:id="rId379" ref="L195"/>
    <hyperlink r:id="rId380" ref="R195"/>
    <hyperlink r:id="rId381" ref="L196"/>
    <hyperlink r:id="rId382" ref="R196"/>
    <hyperlink r:id="rId383" ref="L197"/>
    <hyperlink r:id="rId384" ref="R197"/>
    <hyperlink r:id="rId385" ref="L198"/>
    <hyperlink r:id="rId386" ref="R198"/>
    <hyperlink r:id="rId387" ref="L199"/>
    <hyperlink r:id="rId388" ref="R199"/>
    <hyperlink r:id="rId389" ref="L200"/>
    <hyperlink r:id="rId390" ref="R200"/>
    <hyperlink r:id="rId391" ref="L201"/>
    <hyperlink r:id="rId392" ref="R201"/>
    <hyperlink r:id="rId393" ref="L202"/>
    <hyperlink r:id="rId394" ref="R202"/>
    <hyperlink r:id="rId395" ref="L203"/>
    <hyperlink r:id="rId396" ref="R203"/>
    <hyperlink r:id="rId397" ref="L204"/>
    <hyperlink r:id="rId398" ref="R204"/>
    <hyperlink r:id="rId399" ref="L205"/>
    <hyperlink r:id="rId400" ref="R205"/>
    <hyperlink r:id="rId401" ref="L206"/>
    <hyperlink r:id="rId402" ref="R206"/>
    <hyperlink r:id="rId403" ref="L207"/>
    <hyperlink r:id="rId404" ref="R207"/>
    <hyperlink r:id="rId405" ref="L208"/>
    <hyperlink r:id="rId406" ref="R208"/>
    <hyperlink r:id="rId407" ref="L209"/>
    <hyperlink r:id="rId408" ref="R209"/>
    <hyperlink r:id="rId409" ref="L210"/>
    <hyperlink r:id="rId410" ref="R210"/>
    <hyperlink r:id="rId411" ref="L211"/>
    <hyperlink r:id="rId412" ref="R211"/>
    <hyperlink r:id="rId413" ref="L212"/>
    <hyperlink r:id="rId414" ref="R212"/>
    <hyperlink r:id="rId415" ref="L213"/>
    <hyperlink r:id="rId416" ref="R213"/>
    <hyperlink r:id="rId417" ref="L214"/>
    <hyperlink r:id="rId418" ref="R214"/>
    <hyperlink r:id="rId419" ref="L215"/>
    <hyperlink r:id="rId420" ref="R215"/>
    <hyperlink r:id="rId421" ref="L216"/>
    <hyperlink r:id="rId422" ref="R216"/>
    <hyperlink r:id="rId423" ref="L217"/>
    <hyperlink r:id="rId424" ref="R217"/>
    <hyperlink r:id="rId425" ref="L218"/>
    <hyperlink r:id="rId426" ref="R218"/>
    <hyperlink r:id="rId427" ref="L219"/>
    <hyperlink r:id="rId428" ref="R219"/>
    <hyperlink r:id="rId429" ref="L220"/>
    <hyperlink r:id="rId430" ref="R220"/>
    <hyperlink r:id="rId431" ref="L221"/>
    <hyperlink r:id="rId432" ref="R221"/>
    <hyperlink r:id="rId433" ref="L222"/>
    <hyperlink r:id="rId434" ref="R222"/>
    <hyperlink r:id="rId435" ref="L223"/>
    <hyperlink r:id="rId436" ref="R223"/>
    <hyperlink r:id="rId437" ref="L224"/>
    <hyperlink r:id="rId438" ref="R224"/>
    <hyperlink r:id="rId439" ref="L225"/>
    <hyperlink r:id="rId440" ref="R225"/>
    <hyperlink r:id="rId441" ref="L226"/>
    <hyperlink r:id="rId442" ref="R226"/>
    <hyperlink r:id="rId443" ref="L227"/>
    <hyperlink r:id="rId444" ref="R227"/>
    <hyperlink r:id="rId445" ref="L228"/>
    <hyperlink r:id="rId446" ref="R228"/>
    <hyperlink r:id="rId447" ref="L229"/>
    <hyperlink r:id="rId448" ref="R229"/>
    <hyperlink r:id="rId449" ref="L230"/>
    <hyperlink r:id="rId450" ref="R230"/>
    <hyperlink r:id="rId451" ref="L231"/>
    <hyperlink r:id="rId452" ref="R231"/>
    <hyperlink r:id="rId453" ref="L232"/>
    <hyperlink r:id="rId454" ref="R232"/>
    <hyperlink r:id="rId455" ref="L233"/>
    <hyperlink r:id="rId456" ref="R233"/>
    <hyperlink r:id="rId457" ref="L234"/>
    <hyperlink r:id="rId458" ref="R234"/>
    <hyperlink r:id="rId459" ref="L235"/>
    <hyperlink r:id="rId460" ref="R235"/>
    <hyperlink r:id="rId461" ref="L236"/>
    <hyperlink r:id="rId462" ref="R236"/>
    <hyperlink r:id="rId463" ref="L237"/>
    <hyperlink r:id="rId464" ref="R237"/>
    <hyperlink r:id="rId465" ref="L238"/>
    <hyperlink r:id="rId466" ref="R238"/>
    <hyperlink r:id="rId467" ref="L239"/>
    <hyperlink r:id="rId468" ref="R239"/>
    <hyperlink r:id="rId469" ref="L240"/>
    <hyperlink r:id="rId470" ref="R240"/>
    <hyperlink r:id="rId471" ref="L241"/>
    <hyperlink r:id="rId472" ref="R241"/>
    <hyperlink r:id="rId473" ref="L242"/>
    <hyperlink r:id="rId474" ref="R242"/>
    <hyperlink r:id="rId475" ref="L243"/>
    <hyperlink r:id="rId476" ref="R243"/>
    <hyperlink r:id="rId477" ref="L244"/>
    <hyperlink r:id="rId478" ref="R244"/>
    <hyperlink r:id="rId479" ref="L245"/>
    <hyperlink r:id="rId480" ref="R245"/>
    <hyperlink r:id="rId481" ref="L246"/>
    <hyperlink r:id="rId482" ref="R246"/>
    <hyperlink r:id="rId483" ref="L247"/>
    <hyperlink r:id="rId484" ref="R247"/>
    <hyperlink r:id="rId485" ref="L248"/>
    <hyperlink r:id="rId486" ref="R248"/>
    <hyperlink r:id="rId487" ref="L249"/>
    <hyperlink r:id="rId488" ref="R249"/>
    <hyperlink r:id="rId489" ref="L250"/>
    <hyperlink r:id="rId490" ref="R250"/>
    <hyperlink r:id="rId491" ref="L251"/>
    <hyperlink r:id="rId492" ref="R251"/>
    <hyperlink r:id="rId493" ref="L252"/>
    <hyperlink r:id="rId494" ref="R252"/>
    <hyperlink r:id="rId495" ref="L253"/>
    <hyperlink r:id="rId496" ref="R253"/>
    <hyperlink r:id="rId497" ref="L254"/>
    <hyperlink r:id="rId498" ref="R254"/>
    <hyperlink r:id="rId499" ref="L255"/>
    <hyperlink r:id="rId500" ref="R255"/>
    <hyperlink r:id="rId501" ref="L256"/>
    <hyperlink r:id="rId502" ref="R256"/>
    <hyperlink r:id="rId503" ref="L257"/>
    <hyperlink r:id="rId504" ref="R257"/>
    <hyperlink r:id="rId505" ref="L258"/>
    <hyperlink r:id="rId506" ref="R258"/>
    <hyperlink r:id="rId507" ref="L259"/>
    <hyperlink r:id="rId508" ref="R259"/>
    <hyperlink r:id="rId509" ref="L260"/>
    <hyperlink r:id="rId510" ref="R260"/>
    <hyperlink r:id="rId511" ref="L261"/>
    <hyperlink r:id="rId512" ref="R261"/>
    <hyperlink r:id="rId513" ref="L262"/>
    <hyperlink r:id="rId514" ref="R262"/>
    <hyperlink r:id="rId515" ref="L263"/>
    <hyperlink r:id="rId516" ref="R263"/>
    <hyperlink r:id="rId517" ref="L264"/>
    <hyperlink r:id="rId518" ref="R264"/>
    <hyperlink r:id="rId519" ref="L265"/>
    <hyperlink r:id="rId520" ref="R265"/>
    <hyperlink r:id="rId521" ref="L266"/>
    <hyperlink r:id="rId522" ref="R266"/>
    <hyperlink r:id="rId523" ref="L268"/>
    <hyperlink r:id="rId524" ref="R268"/>
    <hyperlink r:id="rId525" ref="L269"/>
    <hyperlink r:id="rId526" ref="R269"/>
    <hyperlink r:id="rId527" ref="L270"/>
    <hyperlink r:id="rId528" ref="R270"/>
    <hyperlink r:id="rId529" ref="L271"/>
    <hyperlink r:id="rId530" ref="R271"/>
    <hyperlink r:id="rId531" ref="L272"/>
    <hyperlink r:id="rId532" ref="R272"/>
    <hyperlink r:id="rId533" ref="L273"/>
    <hyperlink r:id="rId534" ref="R273"/>
    <hyperlink r:id="rId535" ref="L274"/>
    <hyperlink r:id="rId536" ref="R274"/>
    <hyperlink r:id="rId537" ref="L275"/>
    <hyperlink r:id="rId538" ref="R275"/>
    <hyperlink r:id="rId539" ref="L276"/>
    <hyperlink r:id="rId540" ref="R276"/>
    <hyperlink r:id="rId541" ref="L277"/>
    <hyperlink r:id="rId542" ref="R277"/>
    <hyperlink r:id="rId543" ref="L278"/>
    <hyperlink r:id="rId544" ref="R278"/>
    <hyperlink r:id="rId545" ref="L279"/>
    <hyperlink r:id="rId546" ref="R279"/>
    <hyperlink r:id="rId547" ref="L280"/>
    <hyperlink r:id="rId548" ref="R280"/>
    <hyperlink r:id="rId549" ref="L281"/>
    <hyperlink r:id="rId550" ref="R281"/>
    <hyperlink r:id="rId551" ref="L282"/>
    <hyperlink r:id="rId552" ref="R282"/>
    <hyperlink r:id="rId553" ref="L283"/>
    <hyperlink r:id="rId554" ref="R283"/>
    <hyperlink r:id="rId555" ref="L286"/>
    <hyperlink r:id="rId556" ref="R286"/>
    <hyperlink r:id="rId557" ref="L287"/>
    <hyperlink r:id="rId558" ref="R287"/>
    <hyperlink r:id="rId559" ref="L288"/>
    <hyperlink r:id="rId560" ref="R288"/>
    <hyperlink r:id="rId561" ref="L289"/>
    <hyperlink r:id="rId562" ref="R289"/>
    <hyperlink r:id="rId563" ref="L290"/>
    <hyperlink r:id="rId564" ref="R290"/>
    <hyperlink r:id="rId565" ref="L292"/>
    <hyperlink r:id="rId566" ref="R292"/>
    <hyperlink r:id="rId567" ref="L293"/>
    <hyperlink r:id="rId568" ref="R293"/>
    <hyperlink r:id="rId569" ref="L294"/>
    <hyperlink r:id="rId570" ref="R294"/>
    <hyperlink r:id="rId571" ref="L295"/>
    <hyperlink r:id="rId572" ref="R295"/>
    <hyperlink r:id="rId573" ref="L296"/>
    <hyperlink r:id="rId574" ref="R296"/>
    <hyperlink r:id="rId575" ref="L297"/>
    <hyperlink r:id="rId576" ref="R297"/>
    <hyperlink r:id="rId577" ref="L298"/>
    <hyperlink r:id="rId578" ref="R298"/>
    <hyperlink r:id="rId579" ref="L299"/>
    <hyperlink r:id="rId580" ref="R299"/>
    <hyperlink r:id="rId581" ref="L300"/>
    <hyperlink r:id="rId582" ref="R300"/>
    <hyperlink r:id="rId583" ref="L301"/>
    <hyperlink r:id="rId584" ref="R301"/>
    <hyperlink r:id="rId585" ref="L302"/>
    <hyperlink r:id="rId586" ref="R302"/>
    <hyperlink r:id="rId587" ref="L303"/>
    <hyperlink r:id="rId588" ref="R303"/>
    <hyperlink r:id="rId589" ref="L304"/>
    <hyperlink r:id="rId590" ref="R304"/>
    <hyperlink r:id="rId591" ref="L305"/>
    <hyperlink r:id="rId592" ref="R305"/>
    <hyperlink r:id="rId593" ref="L306"/>
    <hyperlink r:id="rId594" ref="R306"/>
    <hyperlink r:id="rId595" ref="L307"/>
    <hyperlink r:id="rId596" ref="R307"/>
    <hyperlink r:id="rId597" ref="L308"/>
    <hyperlink r:id="rId598" ref="R308"/>
    <hyperlink r:id="rId599" ref="L309"/>
    <hyperlink r:id="rId600" ref="R309"/>
    <hyperlink r:id="rId601" ref="L310"/>
    <hyperlink r:id="rId602" ref="R310"/>
    <hyperlink r:id="rId603" ref="L311"/>
    <hyperlink r:id="rId604" ref="R311"/>
    <hyperlink r:id="rId605" ref="L312"/>
    <hyperlink r:id="rId606" ref="R312"/>
    <hyperlink r:id="rId607" ref="L313"/>
    <hyperlink r:id="rId608" ref="R313"/>
    <hyperlink r:id="rId609" ref="L314"/>
    <hyperlink r:id="rId610" ref="R314"/>
    <hyperlink r:id="rId611" ref="L315"/>
    <hyperlink r:id="rId612" ref="R315"/>
    <hyperlink r:id="rId613" ref="L316"/>
    <hyperlink r:id="rId614" ref="R316"/>
    <hyperlink r:id="rId615" ref="L317"/>
    <hyperlink r:id="rId616" ref="R317"/>
    <hyperlink r:id="rId617" ref="L318"/>
    <hyperlink r:id="rId618" ref="R318"/>
    <hyperlink r:id="rId619" ref="L319"/>
    <hyperlink r:id="rId620" ref="R319"/>
    <hyperlink r:id="rId621" ref="L320"/>
    <hyperlink r:id="rId622" ref="R320"/>
    <hyperlink r:id="rId623" ref="L321"/>
    <hyperlink r:id="rId624" ref="R321"/>
    <hyperlink r:id="rId625" ref="L322"/>
    <hyperlink r:id="rId626" ref="R322"/>
    <hyperlink r:id="rId627" ref="L323"/>
    <hyperlink r:id="rId628" ref="R323"/>
    <hyperlink r:id="rId629" ref="L324"/>
    <hyperlink r:id="rId630" ref="R324"/>
    <hyperlink r:id="rId631" ref="L325"/>
    <hyperlink r:id="rId632" ref="R325"/>
    <hyperlink r:id="rId633" ref="L326"/>
    <hyperlink r:id="rId634" ref="R326"/>
    <hyperlink r:id="rId635" ref="L327"/>
    <hyperlink r:id="rId636" ref="R327"/>
    <hyperlink r:id="rId637" ref="L328"/>
    <hyperlink r:id="rId638" ref="R328"/>
    <hyperlink r:id="rId639" ref="L329"/>
    <hyperlink r:id="rId640" ref="R329"/>
    <hyperlink r:id="rId641" ref="L330"/>
    <hyperlink r:id="rId642" ref="R330"/>
    <hyperlink r:id="rId643" ref="L331"/>
    <hyperlink r:id="rId644" ref="R331"/>
    <hyperlink r:id="rId645" ref="L332"/>
    <hyperlink r:id="rId646" ref="R332"/>
    <hyperlink r:id="rId647" ref="L333"/>
    <hyperlink r:id="rId648" ref="R333"/>
    <hyperlink r:id="rId649" ref="L334"/>
    <hyperlink r:id="rId650" ref="R334"/>
    <hyperlink r:id="rId651" ref="L335"/>
    <hyperlink r:id="rId652" ref="R335"/>
    <hyperlink r:id="rId653" ref="L336"/>
    <hyperlink r:id="rId654" ref="R336"/>
    <hyperlink r:id="rId655" ref="L337"/>
    <hyperlink r:id="rId656" ref="R337"/>
    <hyperlink r:id="rId657" ref="L338"/>
    <hyperlink r:id="rId658" ref="R338"/>
    <hyperlink r:id="rId659" ref="L339"/>
    <hyperlink r:id="rId660" ref="R339"/>
    <hyperlink r:id="rId661" ref="L340"/>
    <hyperlink r:id="rId662" ref="R340"/>
    <hyperlink r:id="rId663" ref="L341"/>
    <hyperlink r:id="rId664" ref="R341"/>
    <hyperlink r:id="rId665" ref="L342"/>
    <hyperlink r:id="rId666" ref="R342"/>
    <hyperlink r:id="rId667" ref="L343"/>
    <hyperlink r:id="rId668" ref="R343"/>
    <hyperlink r:id="rId669" ref="L344"/>
    <hyperlink r:id="rId670" ref="R344"/>
    <hyperlink r:id="rId671" ref="L345"/>
    <hyperlink r:id="rId672" ref="R345"/>
    <hyperlink r:id="rId673" ref="L346"/>
    <hyperlink r:id="rId674" ref="R346"/>
    <hyperlink r:id="rId675" ref="L347"/>
    <hyperlink r:id="rId676" ref="R347"/>
    <hyperlink r:id="rId677" ref="L348"/>
    <hyperlink r:id="rId678" ref="R348"/>
    <hyperlink r:id="rId679" ref="L349"/>
    <hyperlink r:id="rId680" ref="R349"/>
    <hyperlink r:id="rId681" ref="L350"/>
    <hyperlink r:id="rId682" ref="R350"/>
    <hyperlink r:id="rId683" ref="L351"/>
    <hyperlink r:id="rId684" ref="R351"/>
    <hyperlink r:id="rId685" ref="L352"/>
    <hyperlink r:id="rId686" ref="R352"/>
    <hyperlink r:id="rId687" ref="L353"/>
    <hyperlink r:id="rId688" ref="R353"/>
    <hyperlink r:id="rId689" ref="L354"/>
    <hyperlink r:id="rId690" ref="R354"/>
    <hyperlink r:id="rId691" ref="L355"/>
    <hyperlink r:id="rId692" ref="R355"/>
    <hyperlink r:id="rId693" ref="L356"/>
    <hyperlink r:id="rId694" ref="R356"/>
    <hyperlink r:id="rId695" ref="L357"/>
    <hyperlink r:id="rId696" ref="R357"/>
    <hyperlink r:id="rId697" ref="L358"/>
    <hyperlink r:id="rId698" ref="R358"/>
    <hyperlink r:id="rId699" ref="L359"/>
    <hyperlink r:id="rId700" ref="R359"/>
    <hyperlink r:id="rId701" ref="L360"/>
    <hyperlink r:id="rId702" ref="R360"/>
    <hyperlink r:id="rId703" ref="L361"/>
    <hyperlink r:id="rId704" ref="R361"/>
    <hyperlink r:id="rId705" ref="L362"/>
    <hyperlink r:id="rId706" ref="R362"/>
    <hyperlink r:id="rId707" ref="L363"/>
    <hyperlink r:id="rId708" ref="R363"/>
    <hyperlink r:id="rId709" ref="L364"/>
    <hyperlink r:id="rId710" ref="R364"/>
    <hyperlink r:id="rId711" ref="L365"/>
    <hyperlink r:id="rId712" ref="R365"/>
    <hyperlink r:id="rId713" ref="L366"/>
    <hyperlink r:id="rId714" ref="R366"/>
    <hyperlink r:id="rId715" ref="L367"/>
    <hyperlink r:id="rId716" ref="R367"/>
    <hyperlink r:id="rId717" ref="L368"/>
    <hyperlink r:id="rId718" ref="R368"/>
    <hyperlink r:id="rId719" ref="L369"/>
    <hyperlink r:id="rId720" ref="R369"/>
    <hyperlink r:id="rId721" ref="L370"/>
    <hyperlink r:id="rId722" ref="R370"/>
    <hyperlink r:id="rId723" ref="L371"/>
    <hyperlink r:id="rId724" ref="R371"/>
    <hyperlink r:id="rId725" ref="L372"/>
    <hyperlink r:id="rId726" ref="R372"/>
    <hyperlink r:id="rId727" ref="L373"/>
    <hyperlink r:id="rId728" ref="R373"/>
    <hyperlink r:id="rId729" ref="L374"/>
    <hyperlink r:id="rId730" ref="R374"/>
    <hyperlink r:id="rId731" ref="L375"/>
    <hyperlink r:id="rId732" ref="R375"/>
    <hyperlink r:id="rId733" ref="L376"/>
    <hyperlink r:id="rId734" ref="R376"/>
    <hyperlink r:id="rId735" ref="L377"/>
    <hyperlink r:id="rId736" ref="R377"/>
    <hyperlink r:id="rId737" ref="L378"/>
    <hyperlink r:id="rId738" ref="R378"/>
    <hyperlink r:id="rId739" ref="L379"/>
    <hyperlink r:id="rId740" ref="R379"/>
    <hyperlink r:id="rId741" ref="L380"/>
    <hyperlink r:id="rId742" ref="R380"/>
    <hyperlink r:id="rId743" ref="L381"/>
    <hyperlink r:id="rId744" ref="R381"/>
    <hyperlink r:id="rId745" ref="L382"/>
    <hyperlink r:id="rId746" ref="R382"/>
    <hyperlink r:id="rId747" ref="L383"/>
    <hyperlink r:id="rId748" ref="R383"/>
    <hyperlink r:id="rId749" ref="L384"/>
    <hyperlink r:id="rId750" ref="R384"/>
    <hyperlink r:id="rId751" ref="L385"/>
    <hyperlink r:id="rId752" ref="R385"/>
    <hyperlink r:id="rId753" ref="L386"/>
    <hyperlink r:id="rId754" ref="R386"/>
    <hyperlink r:id="rId755" ref="L387"/>
    <hyperlink r:id="rId756" ref="R387"/>
    <hyperlink r:id="rId757" ref="L388"/>
    <hyperlink r:id="rId758" ref="R388"/>
    <hyperlink r:id="rId759" ref="L389"/>
    <hyperlink r:id="rId760" ref="R389"/>
    <hyperlink r:id="rId761" ref="L390"/>
    <hyperlink r:id="rId762" ref="R390"/>
    <hyperlink r:id="rId763" ref="L391"/>
    <hyperlink r:id="rId764" ref="R391"/>
    <hyperlink r:id="rId765" ref="L392"/>
    <hyperlink r:id="rId766" ref="R392"/>
    <hyperlink r:id="rId767" ref="L393"/>
    <hyperlink r:id="rId768" ref="R393"/>
    <hyperlink r:id="rId769" ref="L394"/>
    <hyperlink r:id="rId770" ref="R394"/>
    <hyperlink r:id="rId771" ref="L395"/>
    <hyperlink r:id="rId772" ref="R395"/>
    <hyperlink r:id="rId773" ref="L396"/>
    <hyperlink r:id="rId774" ref="R396"/>
    <hyperlink r:id="rId775" ref="L397"/>
    <hyperlink r:id="rId776" ref="R397"/>
    <hyperlink r:id="rId777" ref="L398"/>
    <hyperlink r:id="rId778" ref="R398"/>
    <hyperlink r:id="rId779" ref="L399"/>
    <hyperlink r:id="rId780" ref="R399"/>
    <hyperlink r:id="rId781" ref="L400"/>
    <hyperlink r:id="rId782" ref="R400"/>
    <hyperlink r:id="rId783" ref="L401"/>
    <hyperlink r:id="rId784" ref="R401"/>
    <hyperlink r:id="rId785" ref="L402"/>
    <hyperlink r:id="rId786" ref="R402"/>
    <hyperlink r:id="rId787" ref="L403"/>
    <hyperlink r:id="rId788" ref="R403"/>
    <hyperlink r:id="rId789" ref="L404"/>
    <hyperlink r:id="rId790" ref="R404"/>
    <hyperlink r:id="rId791" ref="L405"/>
    <hyperlink r:id="rId792" ref="R405"/>
    <hyperlink r:id="rId793" ref="L406"/>
    <hyperlink r:id="rId794" ref="R406"/>
    <hyperlink r:id="rId795" ref="L407"/>
    <hyperlink r:id="rId796" ref="R407"/>
    <hyperlink r:id="rId797" ref="L408"/>
    <hyperlink r:id="rId798" ref="R408"/>
    <hyperlink r:id="rId799" ref="L409"/>
    <hyperlink r:id="rId800" ref="R409"/>
    <hyperlink r:id="rId801" ref="L410"/>
    <hyperlink r:id="rId802" ref="R410"/>
    <hyperlink r:id="rId803" ref="L411"/>
    <hyperlink r:id="rId804" ref="R411"/>
  </hyperlinks>
  <printOptions/>
  <pageMargins bottom="0.75" footer="0.0" header="0.0" left="0.7" right="0.7" top="0.75"/>
  <pageSetup orientation="landscape"/>
  <drawing r:id="rId805"/>
  <tableParts count="1">
    <tablePart r:id="rId807"/>
  </tableParts>
</worksheet>
</file>