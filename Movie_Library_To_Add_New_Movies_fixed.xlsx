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5b610f85644767" /></Relationships>
</file>

<file path=xl/workbook.xml><?xml version="1.0" encoding="utf-8"?>
<x:workbook xmlns:x="http://schemas.openxmlformats.org/spreadsheetml/2006/main">
  <x:sheets>
    <x:sheet xmlns:r="http://schemas.openxmlformats.org/officeDocument/2006/relationships" name="Movie Library" sheetId="1" r:id="R32681e231aac46b4"/>
    <x:sheet xmlns:r="http://schemas.openxmlformats.org/officeDocument/2006/relationships" name="Summary" sheetId="2" r:id="Rc87e2abacdff4d44"/>
    <x:sheet xmlns:r="http://schemas.openxmlformats.org/officeDocument/2006/relationships" name="Settings" sheetId="3" r:id="R00ebc17a65d34000"/>
    <x:sheet xmlns:r="http://schemas.openxmlformats.org/officeDocument/2006/relationships" name="TMDB_Genres" sheetId="4" r:id="R7f522decec2e4d9d"/>
    <x:sheet xmlns:r="http://schemas.openxmlformats.org/officeDocument/2006/relationships" name="Static_Enriched" sheetId="5" r:id="Rb1d95d16470d4c76"/>
    <x:sheet xmlns:r="http://schemas.openxmlformats.org/officeDocument/2006/relationships" name="Instructions" sheetId="6" r:id="R90a816e6019f4eee"/>
    <x:sheet xmlns:r="http://schemas.openxmlformats.org/officeDocument/2006/relationships" name="Office Script" sheetId="7" r:id="R96b84d28b32c463b"/>
  </x:sheets>
</x:workbook>
</file>

<file path=xl/sharedStrings.xml><?xml version="1.0" encoding="utf-8"?>
<x:sst xmlns:x="http://schemas.openxmlformats.org/spreadsheetml/2006/main">
  <x:si>
    <x:t xml:space="preserve">Original Entry</x:t>
  </x:si>
  <x:si>
    <x:t xml:space="preserve">Title</x:t>
  </x:si>
  <x:si>
    <x:t xml:space="preserve">Year</x:t>
  </x:si>
  <x:si>
    <x:t xml:space="preserve">Format</x:t>
  </x:si>
  <x:si>
    <x:t xml:space="preserve">TMDB Search JSON</x:t>
  </x:si>
  <x:si>
    <x:t xml:space="preserve">TMDB ID</x:t>
  </x:si>
  <x:si>
    <x:t xml:space="preserve">TMDB Rating</x:t>
  </x:si>
  <x:si>
    <x:t xml:space="preserve">Genre</x:t>
  </x:si>
  <x:si>
    <x:t xml:space="preserve">Poster Path</x:t>
  </x:si>
  <x:si>
    <x:t xml:space="preserve">Cover URL</x:t>
  </x:si>
  <x:si>
    <x:t xml:space="preserve">Cover Image</x:t>
  </x:si>
  <x:si>
    <x:t xml:space="preserve">Runtime (min)</x:t>
  </x:si>
  <x:si>
    <x:t xml:space="preserve">Overview</x:t>
  </x:si>
  <x:si>
    <x:t xml:space="preserve">Release Date</x:t>
  </x:si>
  <x:si>
    <x:t xml:space="preserve">Watched?</x:t>
  </x:si>
  <x:si>
    <x:t xml:space="preserve">My Rating (1-5)</x:t>
  </x:si>
  <x:si>
    <x:t xml:space="preserve">Notes</x:t>
  </x:si>
  <x:si>
    <x:t xml:space="preserve">TMDB Source URL</x:t>
  </x:si>
  <x:si>
    <x:t xml:space="preserve">Match Status</x:t>
  </x:si>
  <x:si>
    <x:t xml:space="preserve">Ju on: The Grudge 2</x:t>
  </x:si>
  <x:si>
    <x:t xml:space="preserve">Blu-ray</x:t>
  </x:si>
  <x:si>
    <x:t xml:space="preserve">Horror</x:t>
  </x:si>
  <x:si>
    <x:t xml:space="preserve">A television crew investigating the infamous cursed house discovers that the grudge is real, spreading from victim to victim as Kayako and Toshio return.</x:t>
  </x:si>
  <x:si>
    <x:t xml:space="preserve">White Ghost</x:t>
  </x:si>
  <x:si>
    <x:t xml:space="preserve">Fantasy, Horror</x:t>
  </x:si>
  <x:si>
    <x:t xml:space="preserve">An apparition of a young schoolgirl in a yellow rain hat, a family massacre, and a law student's suicide after he fails his bar exam are linked by ominous recordings discovered on an audio cassette.</x:t>
  </x:si>
  <x:si>
    <x:t xml:space="preserve">Black Ghost</x:t>
  </x:si>
  <x:si>
    <x:t xml:space="preserve">A hospitalized young girl discovers that a cyst in her body is actually the physical remnant of her unborn twin, whose grudge spreads to those around her.</x:t>
  </x:si>
  <x:si>
    <x:t xml:space="preserve">Movie Library Dashboard</x:t>
  </x:si>
  <x:si>
    <x:t xml:space="preserve">Metric</x:t>
  </x:si>
  <x:si>
    <x:t xml:space="preserve">Value</x:t>
  </x:si>
  <x:si>
    <x:t xml:space="preserve">Count</x:t>
  </x:si>
  <x:si>
    <x:t xml:space="preserve">Total Movies</x:t>
  </x:si>
  <x:si>
    <x:t xml:space="preserve">Action</x:t>
  </x:si>
  <x:si>
    <x:t xml:space="preserve">Watched</x:t>
  </x:si>
  <x:si>
    <x:t xml:space="preserve">Adventure</x:t>
  </x:si>
  <x:si>
    <x:t xml:space="preserve">Unwatched</x:t>
  </x:si>
  <x:si>
    <x:t xml:space="preserve">Animation</x:t>
  </x:si>
  <x:si>
    <x:t xml:space="preserve">In Progress</x:t>
  </x:si>
  <x:si>
    <x:t xml:space="preserve">Comedy</x:t>
  </x:si>
  <x:si>
    <x:t xml:space="preserve">Avg My Rating</x:t>
  </x:si>
  <x:si>
    <x:t xml:space="preserve">Crime</x:t>
  </x:si>
  <x:si>
    <x:t xml:space="preserve">Avg TMDB Rating</x:t>
  </x:si>
  <x:si>
    <x:t xml:space="preserve">Documentary</x:t>
  </x:si>
  <x:si>
    <x:t xml:space="preserve">Drama</x:t>
  </x:si>
  <x:si>
    <x:t xml:space="preserve">Family</x:t>
  </x:si>
  <x:si>
    <x:t xml:space="preserve">Watched Status</x:t>
  </x:si>
  <x:si>
    <x:t xml:space="preserve">Fantasy</x:t>
  </x:si>
  <x:si>
    <x:t xml:space="preserve">History</x:t>
  </x:si>
  <x:si>
    <x:t xml:space="preserve">Music</x:t>
  </x:si>
  <x:si>
    <x:t xml:space="preserve">Mystery</x:t>
  </x:si>
  <x:si>
    <x:t xml:space="preserve">Romance</x:t>
  </x:si>
  <x:si>
    <x:t xml:space="preserve">My Rating</x:t>
  </x:si>
  <x:si>
    <x:t xml:space="preserve">Science Fiction</x:t>
  </x:si>
  <x:si>
    <x:t xml:space="preserve">TV Movie</x:t>
  </x:si>
  <x:si>
    <x:t xml:space="preserve">Thriller</x:t>
  </x:si>
  <x:si>
    <x:t xml:space="preserve">War</x:t>
  </x:si>
  <x:si>
    <x:t xml:space="preserve">Western</x:t>
  </x:si>
  <x:si>
    <x:t xml:space="preserve">TMDB Rating Band</x:t>
  </x:si>
  <x:si>
    <x:t xml:space="preserve">0-4.9</x:t>
  </x:si>
  <x:si>
    <x:t xml:space="preserve">5.0-5.9</x:t>
  </x:si>
  <x:si>
    <x:t xml:space="preserve">6.0-6.9</x:t>
  </x:si>
  <x:si>
    <x:t xml:space="preserve">7.0-7.9</x:t>
  </x:si>
  <x:si>
    <x:t xml:space="preserve">8.0-10</x:t>
  </x:si>
  <x:si>
    <x:t xml:space="preserve">TMDB Settings</x:t>
  </x:si>
  <x:si>
    <x:t xml:space="preserve">TMDB API Key</x:t>
  </x:si>
  <x:si>
    <x:t xml:space="preserve">API Base URL</x:t>
  </x:si>
  <x:si>
    <x:t xml:space="preserve">https://api.themoviedb.org/3</x:t>
  </x:si>
  <x:si>
    <x:t xml:space="preserve">Poster Base URL</x:t>
  </x:si>
  <x:si>
    <x:t xml:space="preserve">https://image.tmdb.org/t/p/w342</x:t>
  </x:si>
  <x:si>
    <x:t xml:space="preserve">Language</x:t>
  </x:si>
  <x:si>
    <x:t xml:space="preserve">en-US</x:t>
  </x:si>
  <x:si>
    <x:t xml:space="preserve">Instructions</x:t>
  </x:si>
  <x:si>
    <x:t xml:space="preserve">Paste your TMDB API key in B2, then open Movie Library. Formulas will attempt to pull TMDB metadata. For a static enriched copy, run the Office Script included in the Office Script sheet.</x:t>
  </x:si>
  <x:si>
    <x:t xml:space="preserve">TMDB Genre ID</x:t>
  </x:si>
  <x:si>
    <x:t xml:space="preserve">Genre Name</x:t>
  </x:si>
  <x:si>
    <x:t xml:space="preserve">10,000 B.C. (2008)</x:t>
  </x:si>
  <x:si>
    <x:t xml:space="preserve">10,000 B.C.</x:t>
  </x:si>
  <x:si>
    <x:t xml:space="preserve">Adventure, Action, Drama, Fantasy</x:t>
  </x:si>
  <x:si>
    <x:t xml:space="preserve">/9I7gV6wRbGnbfI3XOKjHeLMjYEo.jpg</x:t>
  </x:si>
  <x:si>
    <x:t xml:space="preserve">https://image.tmdb.org/t/p/https://api.themoviedb.org/3/9I7gV6wRbGnbfI3XOKjHeLMjYEo.jpg</x:t>
  </x:si>
  <x:si>
    <x:t xml:space="preserve">How to use this workbook</x:t>
  </x:si>
  <x:si>
    <x:t xml:space="preserve">1. Go to Settings and paste your TMDB API key into cell B2.</x:t>
  </x:si>
  <x:si>
    <x:t xml:space="preserve">2. Open the Movie Library sheet. Excel formulas will use TMDB to fill in TMDB ID, rating, genre, poster path, cover URL, cover image, runtime, overview, release date, source URL, and match status.</x:t>
  </x:si>
  <x:si>
    <x:t xml:space="preserve">3. Cover images use Excel's IMAGE() function. This works in Microsoft 365 Excel. Older Excel versions may show the formula or URL instead.</x:t>
  </x:si>
  <x:si>
    <x:t xml:space="preserve">4. The dashboard charts on Summary are formula-driven from Movie Library and update as ratings, watched status, or metadata changes.</x:t>
  </x:si>
  <x:si>
    <x:t xml:space="preserve">5. For a static enriched copy, run the Office Script included on the Office Script sheet in Excel for the web/Automate. It reads Settings!B2, calls TMDB, and writes static metadata into Static_Enriched.</x:t>
  </x:si>
  <x:si>
    <x:t xml:space="preserve">6. If a title does not match correctly, adjust the Title or Year in Movie Library and rerun/recalculate.</x:t>
  </x:si>
  <x:si>
    <x:t xml:space="preserve">Important privacy note: The API key is not included in this file. It stays in your local copy once you paste it in Settings!B2.</x:t>
  </x:si>
</x:sst>
</file>

<file path=xl/styles.xml><?xml version="1.0" encoding="utf-8"?>
<x:styleSheet xmlns:x="http://schemas.openxmlformats.org/spreadsheetml/2006/main">
  <x:numFmts count="4">
    <x:numFmt numFmtId="164" formatCode="0.0"/>
    <x:numFmt numFmtId="165" formatCode="yyyy-mm-dd"/>
    <x:numFmt numFmtId="166" formatCode="mm/dd/yyyy"/>
    <x:numFmt numFmtId="167" formatCode="m/d/yyyy"/>
  </x:numFmts>
  <x:fonts count="11">
    <x:font>
      <x:sz val="11"/>
      <x:color rgb="000000"/>
      <x:name val="Carlito"/>
    </x:font>
    <x:font>
      <x:b/>
      <x:sz val="11"/>
      <x:color rgb="FFFFFF"/>
      <x:name val="Carlito"/>
    </x:font>
    <x:font>
      <x:sz val="11"/>
      <x:color theme="1"/>
      <x:name val="Carlito"/>
    </x:font>
    <x:font>
      <x:sz val="8"/>
      <x:color rgb="666666"/>
      <x:name val="Carlito"/>
    </x:font>
    <x:font>
      <x:sz val="11"/>
      <x:color rgb="0000FF"/>
      <x:name val="Carlito"/>
    </x:font>
    <x:font>
      <x:sz val="11"/>
      <x:color rgb="000000"/>
      <x:name val="Carlito"/>
    </x:font>
    <x:font>
      <x:b/>
      <x:sz val="16"/>
      <x:color rgb="FFFFFF"/>
      <x:name val="Carlito"/>
    </x:font>
    <x:font>
      <x:b/>
      <x:sz val="11"/>
      <x:color theme="1"/>
      <x:name val="Carlito"/>
    </x:font>
    <x:font>
      <x:b/>
      <x:sz val="14"/>
      <x:color rgb="FFFFFF"/>
      <x:name val="Carlito"/>
    </x:font>
    <x:font>
      <x:color theme="1"/>
      <x:name val="Carlito"/>
    </x:font>
    <x:font>
      <x:sz val="9"/>
      <x:color theme="1"/>
      <x:name val="Consolas"/>
    </x:font>
  </x:fonts>
  <x:fills count="8">
    <x:fill>
      <x:patternFill patternType="none"/>
    </x:fill>
    <x:fill>
      <x:patternFill patternType="lightGray"/>
    </x:fill>
    <x:fill>
      <x:patternFill patternType="solid">
        <x:fgColor rgb="1F4E78"/>
      </x:patternFill>
    </x:fill>
    <x:fill>
      <x:patternFill patternType="solid">
        <x:fgColor rgb="FFFFFF"/>
      </x:patternFill>
    </x:fill>
    <x:fill>
      <x:patternFill patternType="solid">
        <x:fgColor rgb="EBEFF1"/>
      </x:patternFill>
    </x:fill>
    <x:fill>
      <x:patternFill patternType="solid">
        <x:fgColor rgb="EAF2F8"/>
      </x:patternFill>
    </x:fill>
    <x:fill>
      <x:patternFill patternType="solid">
        <x:fgColor rgb="D9EAF7"/>
      </x:patternFill>
    </x:fill>
    <x:fill>
      <x:patternFill patternType="solid">
        <x:fgColor rgb="FFF2CC"/>
      </x:patternFill>
    </x:fill>
  </x:fills>
  <x:borders count="1">
    <x:border/>
  </x:borders>
  <x:cellStyleXfs count="1">
    <x:xf numFmtId="0" fontId="0" fillId="0" borderId="0" applyFont="1" applyAlignment="1"/>
  </x:cellStyleXfs>
  <x:cellXfs count="72">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0" borderId="0" xfId="0" applyFont="1" applyAlignment="1">
      <x:alignment vertical="top" wrapText="1"/>
    </x:xf>
    <x:xf numFmtId="0" fontId="2" fillId="0" borderId="0" xfId="0" applyFont="1" applyAlignment="1">
      <x:alignment vertical="top" wrapText="1"/>
    </x:xf>
    <x:xf numFmtId="0" fontId="3" fillId="0" borderId="0" xfId="0" applyFont="1" applyAlignment="1">
      <x:alignment vertical="top" wrapText="1"/>
    </x:xf>
    <x:xf numFmtId="164" fontId="2" fillId="0" borderId="0" xfId="0" applyNumberFormat="1" applyFont="1" applyAlignment="1">
      <x:alignment vertical="top" wrapText="1"/>
    </x:xf>
    <x:xf numFmtId="0" fontId="4" fillId="0" borderId="0" xfId="0" applyFont="1" applyAlignment="1">
      <x:alignment vertical="top" wrapText="1"/>
    </x:xf>
    <x:xf numFmtId="0" fontId="2" fillId="0" borderId="0" xfId="0" applyFont="1" applyAlignment="1">
      <x:alignment vertical="top" wrapText="1"/>
    </x:xf>
    <x:xf numFmtId="165" fontId="2" fillId="0" borderId="0" xfId="0" applyNumberFormat="1" applyFont="1" applyAlignment="1">
      <x:alignment vertical="top" wrapText="1"/>
    </x:xf>
    <x:xf numFmtId="0" fontId="2" fillId="0" borderId="0" xfId="0" applyFont="1" applyAlignment="1">
      <x:alignment horizontal="center" vertical="top" wrapText="1"/>
    </x:xf>
    <x:xf numFmtId="14" fontId="2" fillId="0" borderId="0" xfId="0" applyNumberFormat="1" applyFont="1" applyAlignment="1">
      <x:alignment vertical="top" wrapText="1"/>
    </x:xf>
    <x:xf numFmtId="164" fontId="2" fillId="0" borderId="0" xfId="0" applyNumberFormat="1" applyFont="1" applyAlignment="1">
      <x:alignment vertical="top" wrapText="1"/>
    </x:xf>
    <x:xf numFmtId="0" fontId="3" fillId="0" borderId="0" xfId="0" applyFont="1" applyAlignment="1">
      <x:alignment vertical="top" wrapText="1"/>
    </x:xf>
    <x:xf numFmtId="1" fontId="2" fillId="0" borderId="0" xfId="0" applyNumberFormat="1" applyFont="1" applyAlignment="1">
      <x:alignment vertical="top" wrapText="1"/>
    </x:xf>
    <x:xf numFmtId="0" fontId="2" fillId="3" borderId="0" xfId="0" applyFont="1" applyFill="1" applyAlignment="1">
      <x:alignment vertical="top" wrapText="1"/>
    </x:xf>
    <x:xf numFmtId="0" fontId="5" fillId="0" borderId="0" xfId="0" applyFont="1" applyAlignment="1">
      <x:alignment vertical="top"/>
    </x:xf>
    <x:xf numFmtId="0" fontId="5" fillId="0" borderId="0" xfId="0" applyFont="1" applyAlignment="1">
      <x:alignment horizontal="right" vertical="top"/>
    </x:xf>
    <x:xf numFmtId="0" fontId="2" fillId="0" borderId="0" xfId="0" applyFont="1" applyAlignment="1">
      <x:alignment vertical="top" wrapText="1"/>
    </x:xf>
    <x:xf numFmtId="166" fontId="5" fillId="0" borderId="0" xfId="0" applyNumberFormat="1" applyFont="1" applyAlignment="1">
      <x:alignment horizontal="right" vertical="top"/>
    </x:xf>
    <x:xf numFmtId="0" fontId="5" fillId="0" borderId="0" xfId="0" applyFont="1" applyAlignment="1">
      <x:alignment vertical="top" wrapText="1"/>
    </x:xf>
    <x:xf numFmtId="0" fontId="2" fillId="0" borderId="0" xfId="0" applyFont="1" applyAlignment="1">
      <x:alignment horizontal="center" vertical="top" wrapText="1"/>
    </x:xf>
    <x:xf numFmtId="0" fontId="2" fillId="4" borderId="0" xfId="0" applyFont="1" applyFill="1" applyAlignment="1">
      <x:alignment vertical="top" wrapText="1"/>
    </x:xf>
    <x:xf numFmtId="0" fontId="2" fillId="3" borderId="0" xfId="0" applyFont="1" applyAlignment="1">
      <x:alignment vertical="top" wrapText="1"/>
    </x:xf>
    <x:xf numFmtId="167" fontId="5" fillId="0" borderId="0" xfId="0" applyNumberFormat="1" applyFont="1" applyAlignment="1">
      <x:alignment horizontal="right" vertical="top"/>
    </x:xf>
    <x:xf numFmtId="0" fontId="5" fillId="0" borderId="0" xfId="0" applyFont="1" applyAlignment="1">
      <x:alignment vertical="top"/>
    </x:xf>
    <x:xf numFmtId="0" fontId="5" fillId="0" borderId="0" xfId="0" applyFont="1" applyAlignment="1">
      <x:alignment vertical="top"/>
    </x:xf>
    <x:xf numFmtId="0" fontId="2" fillId="0" borderId="0" xfId="0" applyFont="1" applyAlignment="1">
      <x:alignment vertical="top" wrapText="1"/>
    </x:xf>
    <x:xf numFmtId="0" fontId="5" fillId="0" borderId="0" xfId="0" applyFont="1" applyAlignment="1">
      <x:alignment vertical="top"/>
    </x:xf>
    <x:xf numFmtId="0" fontId="5" fillId="0" borderId="0" xfId="0" applyFont="1" applyAlignment="1">
      <x:alignment horizontal="right" vertical="top"/>
    </x:xf>
    <x:xf numFmtId="0" fontId="5" fillId="0" borderId="0" xfId="0" applyFont="1" applyAlignment="1">
      <x:alignment vertical="top" wrapText="1"/>
    </x:xf>
    <x:xf numFmtId="0" fontId="6" fillId="2" borderId="0" xfId="0" applyFont="1" applyAlignment="1">
      <x:alignment horizontal="center" wrapText="1"/>
    </x:xf>
    <x:xf numFmtId="0" fontId="2" fillId="0" borderId="0" xfId="0" applyFont="1" applyAlignment="1">
      <x:alignment wrapText="1"/>
    </x:xf>
    <x:xf numFmtId="0" fontId="1" fillId="2" borderId="0" xfId="0" applyFont="1" applyAlignment="1">
      <x:alignment horizontal="center" vertical="center" wrapText="1"/>
    </x:xf>
    <x:xf numFmtId="0" fontId="7" fillId="5" borderId="0" xfId="0" applyFont="1" applyFill="1" applyAlignment="1">
      <x:alignment wrapText="1"/>
    </x:xf>
    <x:xf numFmtId="164" fontId="2" fillId="0" borderId="0" xfId="0" applyNumberFormat="1" applyFont="1" applyAlignment="1">
      <x:alignment horizontal="center" wrapText="1"/>
    </x:xf>
    <x:xf numFmtId="0" fontId="2" fillId="0" borderId="0" xfId="0" applyFont="1" applyAlignment="1">
      <x:alignment horizontal="center" wrapText="1"/>
    </x:xf>
    <x:xf numFmtId="0" fontId="8" fillId="2" borderId="0" xfId="0" applyFont="1" applyAlignment="1">
      <x:alignment wrapText="1"/>
    </x:xf>
    <x:xf numFmtId="0" fontId="7" fillId="6" borderId="0" xfId="0" applyFont="1" applyFill="1" applyAlignment="1">
      <x:alignment wrapText="1"/>
    </x:xf>
    <x:xf numFmtId="0" fontId="7" fillId="7" borderId="0" xfId="0" applyFont="1" applyFill="1" applyAlignment="1">
      <x:alignment wrapText="1"/>
    </x:xf>
    <x:xf numFmtId="0" fontId="9" fillId="0" borderId="0" xfId="0" applyFont="1"/>
    <x:xf numFmtId="0" fontId="1" fillId="2" borderId="0" xfId="0" applyFont="1" applyAlignment="1">
      <x:alignment horizontal="center" vertical="center" wrapText="1"/>
    </x:xf>
    <x:xf numFmtId="0" fontId="3" fillId="0" borderId="0" xfId="0" applyFont="1" applyAlignment="1">
      <x:alignment vertical="top" wrapText="1"/>
    </x:xf>
    <x:xf numFmtId="0" fontId="6" fillId="2" borderId="0" xfId="0" applyFont="1" applyAlignment="1">
      <x:alignment wrapText="1"/>
    </x:xf>
    <x:xf numFmtId="0" fontId="10" fillId="0" borderId="0" xfId="0" applyFont="1" applyAlignment="1">
      <x:alignment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164" fontId="2"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165"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14" fontId="2" fillId="0" borderId="0" xfId="0" applyNumberFormat="1" applyFont="1" applyFill="1" applyBorder="1" applyAlignment="1">
      <x:alignment vertical="top" wrapText="1"/>
    </x:xf>
    <x:xf numFmtId="1"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right" vertical="top"/>
    </x:xf>
    <x:xf numFmtId="166" fontId="0" fillId="0" borderId="0" xfId="0" applyNumberFormat="1" applyFont="1" applyFill="1" applyBorder="1" applyAlignment="1">
      <x:alignment horizontal="right" vertical="top"/>
    </x:xf>
    <x:xf numFmtId="0" fontId="0" fillId="0"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167" fontId="0" fillId="0" borderId="0" xfId="0" applyNumberFormat="1" applyFont="1" applyFill="1" applyBorder="1" applyAlignment="1">
      <x:alignment horizontal="right" vertical="top"/>
    </x:xf>
    <x:xf numFmtId="0" fontId="6" fillId="2" borderId="0" xfId="0" applyNumberFormat="1" applyFont="1" applyFill="1" applyBorder="1" applyAlignment="1">
      <x:alignment horizontal="center" wrapText="1"/>
    </x:xf>
    <x:xf numFmtId="0" fontId="2" fillId="0" borderId="0" xfId="0" applyNumberFormat="1" applyFont="1" applyFill="1" applyBorder="1" applyAlignment="1">
      <x:alignment wrapText="1"/>
    </x:xf>
    <x:xf numFmtId="0" fontId="7" fillId="5" borderId="0" xfId="0" applyNumberFormat="1" applyFont="1" applyFill="1" applyBorder="1" applyAlignment="1">
      <x:alignment wrapText="1"/>
    </x:xf>
    <x:xf numFmtId="164"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8" fillId="2" borderId="0" xfId="0" applyNumberFormat="1" applyFont="1" applyFill="1" applyBorder="1" applyAlignment="1">
      <x:alignment wrapText="1"/>
    </x:xf>
    <x:xf numFmtId="0" fontId="7" fillId="6" borderId="0" xfId="0" applyNumberFormat="1" applyFont="1" applyFill="1" applyBorder="1" applyAlignment="1">
      <x:alignment wrapText="1"/>
    </x:xf>
    <x:xf numFmtId="0" fontId="7" fillId="7" borderId="0" xfId="0" applyNumberFormat="1" applyFont="1" applyFill="1" applyBorder="1" applyAlignment="1">
      <x:alignment wrapText="1"/>
    </x:xf>
    <x:xf numFmtId="0" fontId="9" fillId="0" borderId="0" xfId="0" applyNumberFormat="1" applyFont="1" applyFill="1" applyBorder="1"/>
    <x:xf numFmtId="0" fontId="6" fillId="2" borderId="0" xfId="0" applyNumberFormat="1" applyFont="1" applyFill="1" applyBorder="1" applyAlignment="1">
      <x:alignment wrapText="1"/>
    </x:xf>
    <x:xf numFmtId="0" fontId="10" fillId="0" borderId="0" xfId="0" applyNumberFormat="1" applyFont="1" applyFill="1" applyBorder="1" applyAlignment="1">
      <x:alignment wrapText="1"/>
    </x:xf>
  </x:cellXfs>
  <x:cellStyles count="1">
    <x:cellStyle name="Normal" xfId="0"/>
  </x:cellStyles>
  <x:dxfs count="6">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fill>
        <x:patternFill>
          <x:bgColor rgb="FFDCFCE7"/>
        </x:patternFill>
      </x:fill>
      <x:border/>
    </x:dxf>
    <x:dxf>
      <x:fill>
        <x:patternFill>
          <x:bgColor rgb="FFFEE2E2"/>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f61e64f47d74ea9" /><Relationship Type="http://schemas.openxmlformats.org/officeDocument/2006/relationships/theme" Target="/xl/theme/theme1.xml" Id="R32aa61b4fc8c4451" /><Relationship Type="http://schemas.openxmlformats.org/officeDocument/2006/relationships/sharedStrings" Target="/xl/sharedStrings.xml" Id="R276a8e5022af4f96" /><Relationship Type="http://schemas.openxmlformats.org/officeDocument/2006/relationships/worksheet" Target="/xl/worksheets/sheet1.xml" Id="R32681e231aac46b4" /><Relationship Type="http://schemas.openxmlformats.org/officeDocument/2006/relationships/worksheet" Target="/xl/worksheets/sheet2.xml" Id="Rc87e2abacdff4d44" /><Relationship Type="http://schemas.openxmlformats.org/officeDocument/2006/relationships/worksheet" Target="/xl/worksheets/sheet3.xml" Id="R00ebc17a65d34000" /><Relationship Type="http://schemas.openxmlformats.org/officeDocument/2006/relationships/worksheet" Target="/xl/worksheets/sheet4.xml" Id="R7f522decec2e4d9d" /><Relationship Type="http://schemas.openxmlformats.org/officeDocument/2006/relationships/worksheet" Target="/xl/worksheets/sheet5.xml" Id="Rb1d95d16470d4c76" /><Relationship Type="http://schemas.openxmlformats.org/officeDocument/2006/relationships/worksheet" Target="/xl/worksheets/sheet6.xml" Id="R90a816e6019f4eee" /><Relationship Type="http://schemas.openxmlformats.org/officeDocument/2006/relationships/worksheet" Target="/xl/worksheets/sheet7.xml" Id="R96b84d28b32c463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a6275d553e491e" /><Relationship Type="http://schemas.openxmlformats.org/officeDocument/2006/relationships/chart" Target="/xl/drawings/charts/chart2.xml" Id="R405379dba44c45c6" /><Relationship Type="http://schemas.openxmlformats.org/officeDocument/2006/relationships/chart" Target="/xl/drawings/charts/chart3.xml" Id="R2eb72486060e4933" /><Relationship Type="http://schemas.openxmlformats.org/officeDocument/2006/relationships/chart" Target="/xl/drawings/charts/chart4.xml" Id="R24d402a9e50c4a12"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Count</c:v>
          </c:tx>
          <c:spPr>
            <a:solidFill xmlns:a="http://schemas.openxmlformats.org/drawingml/2006/main">
              <a:schemeClr val="accent1"/>
            </a:solidFill>
            <a:ln xmlns:a="http://schemas.openxmlformats.org/drawingml/2006/main">
              <a:solidFill>
                <a:srgbClr val="000000"/>
              </a:solidFill>
            </a:ln>
          </c:spPr>
          <c:cat>
            <c:strLit>
              <c:ptCount val="0"/>
            </c:strLit>
          </c:cat>
          <c:val>
            <c:numRef>
              <c:f>Summary!$E$4:$E$22</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numFmt formatCode="" sourceLinked="0"/>
        <c:majorTickMark val="none"/>
        <c:minorTickMark val="non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a:solidFill>
                <a:srgbClr val="B7B7B7"/>
              </a:solidFill>
            </a:ln>
          </c:spPr>
        </c:majorGridlines>
        <c:numFmt formatCode=""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2.xml><?xml version="1.0" encoding="utf-8"?>
<c:chartSpace xmlns:c="http://schemas.openxmlformats.org/drawingml/2006/chart">
  <c:lang val="en-US"/>
  <c:roundedCorners val="0"/>
  <c:chart>
    <c:plotArea>
      <c:layout/>
      <c:pieChart>
        <c:ser>
          <c:idx val="0"/>
          <c:order val="0"/>
          <c:dPt>
            <c:idx val="0"/>
            <c:spPr>
              <a:solidFill xmlns:a="http://schemas.openxmlformats.org/drawingml/2006/main">
                <a:srgbClr val="156082"/>
              </a:solidFill>
            </c:spPr>
          </c:dPt>
          <c:dPt>
            <c:idx val="1"/>
            <c:spPr>
              <a:solidFill xmlns:a="http://schemas.openxmlformats.org/drawingml/2006/main">
                <a:srgbClr val="E97132"/>
              </a:solidFill>
            </c:spPr>
          </c:dPt>
          <c:dPt>
            <c:idx val="2"/>
            <c:spPr>
              <a:solidFill xmlns:a="http://schemas.openxmlformats.org/drawingml/2006/main">
                <a:srgbClr val="196B24"/>
              </a:solidFill>
            </c:spPr>
          </c:dPt>
          <c:cat>
            <c:strLit>
              <c:ptCount val="0"/>
            </c:strLit>
          </c:cat>
          <c:val>
            <c:numRef>
              <c:f>Summary!$B$13:$B$15</c:f>
              <c:numCache>
                <c:formatCode>General</c:formatCode>
                <c:ptCount val="0"/>
              </c:numCache>
            </c:numRef>
          </c:val>
        </c:ser>
        <c:dLbls>
          <c:showLegendKey val="0"/>
          <c:showVal val="0"/>
          <c:showCatName val="0"/>
          <c:showSerName val="0"/>
          <c:showPercent val="0"/>
          <c:showBubbleSize val="0"/>
          <c:showLeaderLines val="0"/>
        </c:dLbls>
        <c:firstSliceAng val="0"/>
      </c:pieChart>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3.xml><?xml version="1.0" encoding="utf-8"?>
<c:chartSpace xmlns:c="http://schemas.openxmlformats.org/drawingml/2006/chart">
  <c:lang val="en-US"/>
  <c:roundedCorners val="0"/>
  <c:chart>
    <c:plotArea>
      <c:layout/>
      <c:barChart>
        <c:barDir val="col"/>
        <c:varyColors val="0"/>
        <c:ser>
          <c:idx val="0"/>
          <c:order val="0"/>
          <c:tx>
            <c:v>Count</c:v>
          </c:tx>
          <c:spPr>
            <a:solidFill xmlns:a="http://schemas.openxmlformats.org/drawingml/2006/main">
              <a:schemeClr val="accent1"/>
            </a:solidFill>
            <a:ln xmlns:a="http://schemas.openxmlformats.org/drawingml/2006/main">
              <a:solidFill>
                <a:srgbClr val="000000"/>
              </a:solidFill>
            </a:ln>
          </c:spPr>
          <c:cat>
            <c:strLit>
              <c:ptCount val="0"/>
            </c:strLit>
          </c:cat>
          <c:val>
            <c:numRef>
              <c:f>Summary!$B$19:$B$23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numFmt formatCode="" sourceLinked="0"/>
        <c:majorTickMark val="none"/>
        <c:minorTickMark val="non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a:solidFill>
                <a:srgbClr val="B7B7B7"/>
              </a:solidFill>
            </a:ln>
          </c:spPr>
        </c:majorGridlines>
        <c:numFmt formatCode=""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4.xml><?xml version="1.0" encoding="utf-8"?>
<c:chartSpace xmlns:c="http://schemas.openxmlformats.org/drawingml/2006/chart">
  <c:lang val="en-US"/>
  <c:roundedCorners val="0"/>
  <c:chart>
    <c:plotArea>
      <c:layout/>
      <c:barChart>
        <c:barDir val="col"/>
        <c:varyColors val="0"/>
        <c:ser>
          <c:idx val="0"/>
          <c:order val="0"/>
          <c:tx>
            <c:v>Count</c:v>
          </c:tx>
          <c:spPr>
            <a:solidFill xmlns:a="http://schemas.openxmlformats.org/drawingml/2006/main">
              <a:schemeClr val="accent1"/>
            </a:solidFill>
            <a:ln xmlns:a="http://schemas.openxmlformats.org/drawingml/2006/main">
              <a:solidFill>
                <a:srgbClr val="000000"/>
              </a:solidFill>
            </a:ln>
          </c:spPr>
          <c:cat>
            <c:strLit>
              <c:ptCount val="0"/>
            </c:strLit>
          </c:cat>
          <c:val>
            <c:numRef>
              <c:f>Summary!$E$26:$E$30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numFmt formatCode="" sourceLinked="0"/>
        <c:majorTickMark val="none"/>
        <c:minorTickMark val="non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a:solidFill>
                <a:srgbClr val="B7B7B7"/>
              </a:solidFill>
            </a:ln>
          </c:spPr>
        </c:majorGridlines>
        <c:numFmt formatCode=""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drawing1.xml><?xml version="1.0" encoding="utf-8"?>
<xdr:wsDr xmlns:xdr="http://schemas.openxmlformats.org/drawingml/2006/spreadsheetDrawing">
  <xdr:oneCellAnchor>
    <xdr:from>
      <xdr:col>6</xdr:col>
      <xdr:colOff>0</xdr:colOff>
      <xdr:row>2</xdr:row>
      <xdr:rowOff>0</xdr:rowOff>
    </xdr:from>
    <xdr:ext cx="5905500" cy="314325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a6275d553e491e"/>
        </a:graphicData>
      </a:graphic>
    </xdr:graphicFrame>
    <xdr:clientData/>
  </xdr:oneCellAnchor>
  <xdr:oneCellAnchor>
    <xdr:from>
      <xdr:col>6</xdr:col>
      <xdr:colOff>0</xdr:colOff>
      <xdr:row>21</xdr:row>
      <xdr:rowOff>0</xdr:rowOff>
    </xdr:from>
    <xdr:ext cx="476250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5379dba44c45c6"/>
        </a:graphicData>
      </a:graphic>
    </xdr:graphicFrame>
    <xdr:clientData/>
  </xdr:oneCellAnchor>
  <xdr:oneCellAnchor>
    <xdr:from>
      <xdr:col>0</xdr:col>
      <xdr:colOff>0</xdr:colOff>
      <xdr:row>25</xdr:row>
      <xdr:rowOff>0</xdr:rowOff>
    </xdr:from>
    <xdr:ext cx="4191000" cy="28575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b72486060e4933"/>
        </a:graphicData>
      </a:graphic>
    </xdr:graphicFrame>
    <xdr:clientData/>
  </xdr:oneCellAnchor>
  <xdr:oneCellAnchor>
    <xdr:from>
      <xdr:col>6</xdr:col>
      <xdr:colOff>0</xdr:colOff>
      <xdr:row>39</xdr:row>
      <xdr:rowOff>0</xdr:rowOff>
    </xdr:from>
    <xdr:ext cx="4762500" cy="28575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d402a9e50c4a12"/>
        </a:graphicData>
      </a:graphic>
    </xdr:graphicFrame>
    <xdr:clientData/>
  </xdr:oneCellAnchor>
</xdr:wsDr>
</file>

<file path=xl/tables/table1.xml><?xml version="1.0" encoding="utf-8"?>
<x:table xmlns:x="http://schemas.openxmlformats.org/spreadsheetml/2006/main" id="1" name="Table_1" displayName="Table_1" ref="A1:S432">
  <x:tableColumns count="19">
    <x:tableColumn id="1" name="Original Entry"/>
    <x:tableColumn id="2" name="Title"/>
    <x:tableColumn id="3" name="Year"/>
    <x:tableColumn id="4" name="Format"/>
    <x:tableColumn id="5" name="TMDB Search JSON"/>
    <x:tableColumn id="6" name="TMDB ID"/>
    <x:tableColumn id="7" name="TMDB Rating"/>
    <x:tableColumn id="8" name="Genre"/>
    <x:tableColumn id="9" name="Poster Path"/>
    <x:tableColumn id="10" name="Cover URL"/>
    <x:tableColumn id="11" name="Cover Image"/>
    <x:tableColumn id="12" name="Runtime (min)"/>
    <x:tableColumn id="13" name="Overview"/>
    <x:tableColumn id="14" name="Release Date"/>
    <x:tableColumn id="15" name="Watched?"/>
    <x:tableColumn id="16" name="My Rating (1-5)"/>
    <x:tableColumn id="17" name="Notes"/>
    <x:tableColumn id="18" name="TMDB Source URL"/>
    <x:tableColumn id="19" name="Match Status"/>
  </x:tableColumns>
  <x:tableStyleInfo name="Movie Library-style" showFirstColumn="1" showLastColumn="1" showRowStripes="1"/>
</x:table>
</file>

<file path=xl/tables/table2.xml><?xml version="1.0" encoding="utf-8"?>
<x:table xmlns:x="http://schemas.openxmlformats.org/spreadsheetml/2006/main" id="2" name="Table_2" displayName="Table_2" ref="A1:B20">
  <x:tableColumns count="2">
    <x:tableColumn id="1" name="TMDB Genre ID"/>
    <x:tableColumn id="2" name="Genre Name"/>
  </x:tableColumns>
  <x:tableStyleInfo name="TMDB_Genres-style" showFirstColumn="1" showLastColumn="1" showRowStripes="1"/>
</x:table>
</file>

<file path=xl/tables/table3.xml><?xml version="1.0" encoding="utf-8"?>
<x:table xmlns:x="http://schemas.openxmlformats.org/spreadsheetml/2006/main" id="3" name="Table_3" displayName="Table_3" ref="A1:S431">
  <x:tableColumns count="19">
    <x:tableColumn id="1" name="Original Entry"/>
    <x:tableColumn id="2" name="Title"/>
    <x:tableColumn id="3" name="Year"/>
    <x:tableColumn id="4" name="Format"/>
    <x:tableColumn id="5" name="TMDB Search JSON"/>
    <x:tableColumn id="6" name="TMDB ID"/>
    <x:tableColumn id="7" name="TMDB Rating"/>
    <x:tableColumn id="8" name="Genre"/>
    <x:tableColumn id="9" name="Poster Path"/>
    <x:tableColumn id="10" name="Cover URL"/>
    <x:tableColumn id="11" name="Cover Image"/>
    <x:tableColumn id="12" name="Runtime (min)"/>
    <x:tableColumn id="13" name="Overview"/>
    <x:tableColumn id="14" name="Release Date"/>
    <x:tableColumn id="15" name="Watched?"/>
    <x:tableColumn id="16" name="My Rating (1-5)"/>
    <x:tableColumn id="17" name="Notes"/>
    <x:tableColumn id="18" name="TMDB Source URL"/>
    <x:tableColumn id="19" name="Match Status"/>
  </x:tableColumns>
  <x:tableStyleInfo name="Static_Enriched-style" showFirstColumn="1" showLastColumn="1"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737dc1ffc04716" /></Relationships>
</file>

<file path=xl/worksheets/_rels/sheet2.xml.rels>&#65279;<?xml version="1.0" encoding="utf-8"?><Relationships xmlns="http://schemas.openxmlformats.org/package/2006/relationships"><Relationship Type="http://schemas.openxmlformats.org/officeDocument/2006/relationships/drawing" Target="/xl/drawings/drawing1.xml" Id="R9bcb1bef32514663" /></Relationships>
</file>

<file path=xl/worksheets/_rels/sheet4.xml.rels>&#65279;<?xml version="1.0" encoding="utf-8"?><Relationships xmlns="http://schemas.openxmlformats.org/package/2006/relationships"><Relationship Type="http://schemas.openxmlformats.org/officeDocument/2006/relationships/table" Target="/xl/tables/table2.xml" Id="R95670e8fc4674109" /></Relationships>
</file>

<file path=xl/worksheets/_rels/sheet5.xml.rels>&#65279;<?xml version="1.0" encoding="utf-8"?><Relationships xmlns="http://schemas.openxmlformats.org/package/2006/relationships"><Relationship Type="http://schemas.openxmlformats.org/officeDocument/2006/relationships/table" Target="/xl/tables/table3.xml" Id="Re93d99ba84784ccb" /></Relationships>
</file>

<file path=xl/worksheets/sheet1.xml><?xml version="1.0" encoding="utf-8"?>
<x:worksheet xmlns:x="http://schemas.openxmlformats.org/spreadsheetml/2006/main">
  <x:sheetFormatPr defaultColWidth="12.630000114440918" defaultRowHeight="15"/>
  <x:cols>
    <x:col min="1" max="1" width="28.8799991607666" customWidth="1"/>
    <x:col min="2" max="2" width="30.1299991607666" customWidth="1"/>
    <x:col min="3" max="3" width="5" customWidth="1"/>
    <x:col min="4" max="4" width="10.380000114440918" customWidth="1"/>
    <x:col min="5" max="5" width="12.380000114440918" customWidth="1"/>
    <x:col min="6" max="6" width="8" customWidth="1"/>
    <x:col min="7" max="7" width="12.630000114440918" customWidth="1"/>
    <x:col min="8" max="8" width="24.1299991607666" customWidth="1"/>
    <x:col min="9" max="9" width="16.25" customWidth="1"/>
    <x:col min="10" max="10" width="9.380000114440918" customWidth="1"/>
    <x:col min="11" max="11" width="11.130000114440918" customWidth="1"/>
    <x:col min="12" max="12" width="10" customWidth="1"/>
    <x:col min="13" max="13" width="43" customWidth="1"/>
    <x:col min="14" max="14" width="11.5" customWidth="1"/>
    <x:col min="15" max="15" width="12.380000114440918" customWidth="1"/>
    <x:col min="16" max="16" width="13.5" customWidth="1"/>
    <x:col min="17" max="17" width="33.880001068115234" customWidth="1"/>
    <x:col min="18" max="18" width="27.6299991607666" customWidth="1"/>
    <x:col min="19" max="19" width="11.630000114440918" customWidth="1"/>
    <x:col min="20" max="26" width="8.630000114440918"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row>
    <x:row r="2" ht="90" customHeight="1">
      <x:c r="A2" s="2" t="str">
        <x:v>10,000 B.C. (2008)</x:v>
      </x:c>
      <x:c r="B2" s="2" t="str">
        <x:v>10,000 B.C.</x:v>
      </x:c>
      <x:c r="C2" s="3" t="n">
        <x:v>2008</x:v>
      </x:c>
      <x:c r="D2" s="2" t="str">
        <x:v>Blu-ray</x:v>
      </x:c>
      <x:c r="E2" s="4"/>
      <x:c r="F2" s="3" t="n">
        <x:v>7840</x:v>
      </x:c>
      <x:c r="G2" s="5" t="n">
        <x:v>5.503</x:v>
      </x:c>
      <x:c r="H2" s="2" t="str">
        <x:v>Adventure, Action, Drama, Fantasy</x:v>
      </x:c>
      <x:c r="I2" s="6" t="str">
        <x:v>/9I7gV6wRbGnbfI3XOKjHeLMjYEo.jpg</x:v>
      </x:c>
      <x:c r="J2" s="7" t="str">
        <x:v>https://image.tmdb.org/t/p/w342/9I7gV6wRbGnbfI3XOKjHeLMjYEo.jpg</x:v>
      </x:c>
      <x:c r="K2" s="3" t="e">
        <x:f>IMAGE(J2)</x:f>
      </x:c>
      <x:c r="L2" s="8" t="n">
        <x:v>109</x:v>
      </x:c>
      <x:c r="M2" s="46" t="str">
        <x:v>A prehistoric epic that follows a young mammoth hunter's journey through uncharted territory to secure the future of his tribe.</x:v>
      </x:c>
      <x:c r="N2" s="2" t="n">
        <x:v>39511</x:v>
      </x:c>
      <x:c r="O2" s="2" t="str">
        <x:v>Unwatched</x:v>
      </x:c>
      <x:c r="P2" s="9"/>
      <x:c r="Q2" s="6"/>
      <x:c r="R2" s="2" t="str">
        <x:v>https://www.themoviedb.org/movie/7840</x:v>
      </x:c>
      <x:c r="S2" s="10" t="str">
        <x:v>Matched</x:v>
      </x:c>
    </x:row>
    <x:row r="3" ht="90" customHeight="1">
      <x:c r="A3" s="2" t="str">
        <x:v>2001: A Space Odyssey (1968)</x:v>
      </x:c>
      <x:c r="B3" s="2" t="str">
        <x:v>2001: A Space Odyssey</x:v>
      </x:c>
      <x:c r="C3" s="3" t="n">
        <x:v>1968</x:v>
      </x:c>
      <x:c r="D3" s="2" t="str">
        <x:v>Blu-ray</x:v>
      </x:c>
      <x:c r="E3" s="4"/>
      <x:c r="F3" s="3" t="n">
        <x:v>62</x:v>
      </x:c>
      <x:c r="G3" s="5" t="n">
        <x:v>8.049</x:v>
      </x:c>
      <x:c r="H3" s="2" t="str">
        <x:v>Science Fiction, Mystery, Adventure</x:v>
      </x:c>
      <x:c r="I3" s="6" t="str">
        <x:v>/ve72VxNqjGM69Uky4WTo2bK6rfq.jpg</x:v>
      </x:c>
      <x:c r="J3" s="7" t="str">
        <x:v>https://image.tmdb.org/t/p/w342/ve72VxNqjGM69Uky4WTo2bK6rfq.jpg</x:v>
      </x:c>
      <x:c r="K3" s="3" t="e">
        <x:f>IMAGE(J3)</x:f>
      </x:c>
      <x:c r="L3" s="8" t="n">
        <x:v>149</x:v>
      </x:c>
      <x:c r="M3" s="46" t="str">
        <x:v>Humanity finds a mysterious object buried beneath the lunar surface and sets off to find its origins with the help of HAL 9000, the world's most advanced super computer.</x:v>
      </x:c>
      <x:c r="N3" s="2" t="n">
        <x:v>24930</x:v>
      </x:c>
      <x:c r="O3" s="2" t="str">
        <x:v>Unwatched</x:v>
      </x:c>
      <x:c r="P3" s="9"/>
      <x:c r="Q3" s="6"/>
      <x:c r="R3" s="2" t="str">
        <x:v>https://www.themoviedb.org/movie/62</x:v>
      </x:c>
      <x:c r="S3" s="10" t="str">
        <x:v>Matched</x:v>
      </x:c>
    </x:row>
    <x:row r="4" ht="90" customHeight="1">
      <x:c r="A4" s="2" t="str">
        <x:v>3 from Hell (2019)</x:v>
      </x:c>
      <x:c r="B4" s="2" t="str">
        <x:v>3 from Hell</x:v>
      </x:c>
      <x:c r="C4" s="3" t="n">
        <x:v>2019</x:v>
      </x:c>
      <x:c r="D4" s="2" t="str">
        <x:v>Blu-ray</x:v>
      </x:c>
      <x:c r="E4" s="4"/>
      <x:c r="F4" s="3" t="n">
        <x:v>489064</x:v>
      </x:c>
      <x:c r="G4" s="5" t="n">
        <x:v>5.8</x:v>
      </x:c>
      <x:c r="H4" s="2" t="str">
        <x:v>Horror, Thriller</x:v>
      </x:c>
      <x:c r="I4" s="6" t="str">
        <x:v>/iaURDnsqwTpFdg7RuizUp0nI2I4.jpg</x:v>
      </x:c>
      <x:c r="J4" s="7" t="str">
        <x:v>https://image.tmdb.org/t/p/w342/iaURDnsqwTpFdg7RuizUp0nI2I4.jpg</x:v>
      </x:c>
      <x:c r="K4" s="3" t="e">
        <x:f>IMAGE(J4)</x:f>
      </x:c>
      <x:c r="L4" s="8" t="n">
        <x:v>115</x:v>
      </x:c>
      <x:c r="M4" s="46" t="str">
        <x:v>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x:v>
      </x:c>
      <x:c r="N4" s="2" t="n">
        <x:v>43724</x:v>
      </x:c>
      <x:c r="O4" s="2" t="str">
        <x:v>Unwatched</x:v>
      </x:c>
      <x:c r="P4" s="9"/>
      <x:c r="Q4" s="6"/>
      <x:c r="R4" s="2" t="str">
        <x:v>https://www.themoviedb.org/movie/489064</x:v>
      </x:c>
      <x:c r="S4" s="10" t="str">
        <x:v>Matched</x:v>
      </x:c>
    </x:row>
    <x:row r="5" ht="90" customHeight="1">
      <x:c r="A5" s="2" t="str">
        <x:v>30 Days of Night (2007)</x:v>
      </x:c>
      <x:c r="B5" s="2" t="str">
        <x:v>30 Days of Night</x:v>
      </x:c>
      <x:c r="C5" s="3" t="n">
        <x:v>2007</x:v>
      </x:c>
      <x:c r="D5" s="2" t="str">
        <x:v>Blu-ray</x:v>
      </x:c>
      <x:c r="E5" s="4"/>
      <x:c r="F5" s="3" t="n">
        <x:v>4513</x:v>
      </x:c>
      <x:c r="G5" s="5" t="n">
        <x:v>6.4</x:v>
      </x:c>
      <x:c r="H5" s="2" t="str">
        <x:v>Horror, Thriller</x:v>
      </x:c>
      <x:c r="I5" s="6" t="str">
        <x:v>/7LwSrvFA0gz1KAlcrGcinoQPene.jpg</x:v>
      </x:c>
      <x:c r="J5" s="7" t="str">
        <x:v>https://image.tmdb.org/t/p/w342/7LwSrvFA0gz1KAlcrGcinoQPene.jpg</x:v>
      </x:c>
      <x:c r="K5" s="3" t="e">
        <x:f>IMAGE(J5)</x:f>
      </x:c>
      <x:c r="L5" s="8" t="n">
        <x:v>113</x:v>
      </x:c>
      <x:c r="M5" s="46" t="str">
        <x: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x:v>
      </x:c>
      <x:c r="N5" s="2" t="n">
        <x:v>39372</x:v>
      </x:c>
      <x:c r="O5" s="2" t="str">
        <x:v>Unwatched</x:v>
      </x:c>
      <x:c r="P5" s="9"/>
      <x:c r="Q5" s="6"/>
      <x:c r="R5" s="2" t="str">
        <x:v>https://www.themoviedb.org/movie/4513</x:v>
      </x:c>
      <x:c r="S5" s="10" t="str">
        <x:v>Matched</x:v>
      </x:c>
    </x:row>
    <x:row r="6" ht="90" customHeight="1">
      <x:c r="A6" s="2" t="str">
        <x:v>30 Minutes or Less (2011)</x:v>
      </x:c>
      <x:c r="B6" s="2" t="str">
        <x:v>30 Minutes or Less</x:v>
      </x:c>
      <x:c r="C6" s="3" t="n">
        <x:v>2011</x:v>
      </x:c>
      <x:c r="D6" s="2" t="str">
        <x:v>Blu-ray</x:v>
      </x:c>
      <x:c r="E6" s="4"/>
      <x:c r="F6" s="3" t="n">
        <x:v>62206</x:v>
      </x:c>
      <x:c r="G6" s="5" t="n">
        <x:v>5.8</x:v>
      </x:c>
      <x:c r="H6" s="2" t="str">
        <x:v>Action, Adventure, Comedy</x:v>
      </x:c>
      <x:c r="I6" s="6" t="str">
        <x:v>/12VgS5G6OG7ANKrSbhtUD2POHb8.jpg</x:v>
      </x:c>
      <x:c r="J6" s="7" t="str">
        <x:v>https://image.tmdb.org/t/p/w342/12VgS5G6OG7ANKrSbhtUD2POHb8.jpg</x:v>
      </x:c>
      <x:c r="K6" s="3" t="e">
        <x:f>IMAGE(J6)</x:f>
      </x:c>
      <x:c r="L6" s="8" t="n">
        <x:v>83</x:v>
      </x:c>
      <x:c r="M6" s="46" t="str">
        <x:v>Two fledgling criminals kidnap a pizza delivery guy, strap a bomb to his chest, and advise him that he has mere hours to rob a bank or else...</x:v>
      </x:c>
      <x:c r="N6" s="2" t="n">
        <x:v>40766</x:v>
      </x:c>
      <x:c r="O6" s="2" t="str">
        <x:v>Unwatched</x:v>
      </x:c>
      <x:c r="P6" s="9"/>
      <x:c r="Q6" s="6"/>
      <x:c r="R6" s="2" t="str">
        <x:v>https://www.themoviedb.org/movie/62206</x:v>
      </x:c>
      <x:c r="S6" s="10" t="str">
        <x:v>Matched</x:v>
      </x:c>
    </x:row>
    <x:row r="7" ht="90" customHeight="1">
      <x:c r="A7" s="2" t="str">
        <x:v>The 40-Year-Old Virgin (2005)</x:v>
      </x:c>
      <x:c r="B7" s="2" t="str">
        <x:v>The 40-Year-Old Virgin</x:v>
      </x:c>
      <x:c r="C7" s="3" t="n">
        <x:v>2005</x:v>
      </x:c>
      <x:c r="D7" s="2" t="str">
        <x:v>Blu-ray</x:v>
      </x:c>
      <x:c r="E7" s="4"/>
      <x:c r="F7" s="3" t="n">
        <x:v>6957</x:v>
      </x:c>
      <x:c r="G7" s="5" t="n">
        <x:v>6.422</x:v>
      </x:c>
      <x:c r="H7" s="2" t="str">
        <x:v>Comedy, Romance</x:v>
      </x:c>
      <x:c r="I7" s="6" t="str">
        <x:v>/mVeoqL37gzhMXQVpONi9DGOQ3tZ.jpg</x:v>
      </x:c>
      <x:c r="J7" s="7" t="str">
        <x:v>https://image.tmdb.org/t/p/w342/mVeoqL37gzhMXQVpONi9DGOQ3tZ.jpg</x:v>
      </x:c>
      <x:c r="K7" s="3" t="e">
        <x:f>IMAGE(J7)</x:f>
      </x:c>
      <x:c r="L7" s="8" t="n">
        <x:v>116</x:v>
      </x:c>
      <x:c r="M7" s="46" t="str">
        <x: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x:v>
      </x:c>
      <x:c r="N7" s="2" t="n">
        <x:v>38575</x:v>
      </x:c>
      <x:c r="O7" s="2" t="str">
        <x:v>Unwatched</x:v>
      </x:c>
      <x:c r="P7" s="9"/>
      <x:c r="Q7" s="6"/>
      <x:c r="R7" s="2" t="str">
        <x:v>https://www.themoviedb.org/movie/6957</x:v>
      </x:c>
      <x:c r="S7" s="10" t="str">
        <x:v>Matched</x:v>
      </x:c>
    </x:row>
    <x:row r="8" ht="90" customHeight="1">
      <x:c r="A8" s="2" t="str">
        <x:v>42 (2013)</x:v>
      </x:c>
      <x:c r="B8" s="2" t="n">
        <x:v>42</x:v>
      </x:c>
      <x:c r="C8" s="3" t="n">
        <x:v>2013</x:v>
      </x:c>
      <x:c r="D8" s="2" t="str">
        <x:v>Blu-ray</x:v>
      </x:c>
      <x:c r="E8" s="4"/>
      <x:c r="F8" s="3" t="n">
        <x:v>109410</x:v>
      </x:c>
      <x:c r="G8" s="5" t="n">
        <x:v>7.196</x:v>
      </x:c>
      <x:c r="H8" s="2" t="str">
        <x:v>Drama</x:v>
      </x:c>
      <x:c r="I8" s="6" t="str">
        <x:v>/iZ7jVGQWj3eBUdqwAPUlKk0BaS2.jpg</x:v>
      </x:c>
      <x:c r="J8" s="7" t="str">
        <x:v>https://image.tmdb.org/t/p/w342/iZ7jVGQWj3eBUdqwAPUlKk0BaS2.jpg</x:v>
      </x:c>
      <x:c r="K8" s="3" t="e">
        <x:f>IMAGE(J8)</x:f>
      </x:c>
      <x:c r="L8" s="8" t="n">
        <x:v>128</x:v>
      </x:c>
      <x:c r="M8" s="46" t="str">
        <x:v>In 1947, Jackie Robinson becomes the first Black man to play in Major League Baseball facing unabashed racism from the public, the press and other players.</x:v>
      </x:c>
      <x:c r="N8" s="2" t="n">
        <x:v>41376</x:v>
      </x:c>
      <x:c r="O8" s="2" t="str">
        <x:v>Unwatched</x:v>
      </x:c>
      <x:c r="P8" s="9"/>
      <x:c r="Q8" s="6"/>
      <x:c r="R8" s="2" t="str">
        <x:v>https://www.themoviedb.org/movie/109410</x:v>
      </x:c>
      <x:c r="S8" s="10" t="str">
        <x:v>Matched</x:v>
      </x:c>
    </x:row>
    <x:row r="9" ht="90" customHeight="1">
      <x:c r="A9" s="2" t="str">
        <x:v>[REC] (2007)</x:v>
      </x:c>
      <x:c r="B9" s="2" t="str">
        <x:v>[REC]</x:v>
      </x:c>
      <x:c r="C9" s="3" t="n">
        <x:v>2007</x:v>
      </x:c>
      <x:c r="D9" s="2" t="str">
        <x:v>Blu-ray</x:v>
      </x:c>
      <x:c r="E9" s="4"/>
      <x:c r="F9" s="3" t="n">
        <x:v>8329</x:v>
      </x:c>
      <x:c r="G9" s="5" t="n">
        <x:v>7.227</x:v>
      </x:c>
      <x:c r="H9" s="2" t="str">
        <x:v>Horror, Mystery</x:v>
      </x:c>
      <x:c r="I9" s="6" t="str">
        <x:v>/hgyJR4sgMsee6xMFM3xYiG6cDCh.jpg</x:v>
      </x:c>
      <x:c r="J9" s="7" t="str">
        <x:v>https://image.tmdb.org/t/p/w342/hgyJR4sgMsee6xMFM3xYiG6cDCh.jpg</x:v>
      </x:c>
      <x:c r="K9" s="3" t="e">
        <x:f>IMAGE(J9)</x:f>
      </x:c>
      <x:c r="L9" s="8" t="n">
        <x:v>78</x:v>
      </x:c>
      <x:c r="M9" s="46" t="str">
        <x:v>A television reporter and cameraman follow emergency workers into a dark apartment building and are quickly locked inside with something terrifying.</x:v>
      </x:c>
      <x:c r="N9" s="2" t="n">
        <x:v>39409</x:v>
      </x:c>
      <x:c r="O9" s="2" t="str">
        <x:v>Unwatched</x:v>
      </x:c>
      <x:c r="P9" s="9"/>
      <x:c r="Q9" s="6"/>
      <x:c r="R9" s="2" t="str">
        <x:v>https://www.themoviedb.org/movie/8329</x:v>
      </x:c>
      <x:c r="S9" s="10" t="str">
        <x:v>Matched</x:v>
      </x:c>
    </x:row>
    <x:row r="10" ht="90" customHeight="1">
      <x:c r="A10" s="2" t="str">
        <x:v>[REC] 2 (2009)</x:v>
      </x:c>
      <x:c r="B10" s="2" t="str">
        <x:v>[REC] 2</x:v>
      </x:c>
      <x:c r="C10" s="3" t="n">
        <x:v>2009</x:v>
      </x:c>
      <x:c r="D10" s="2" t="str">
        <x:v>Blu-ray</x:v>
      </x:c>
      <x:c r="E10" s="4"/>
      <x:c r="F10" s="3" t="n">
        <x:v>10664</x:v>
      </x:c>
      <x:c r="G10" s="5" t="n">
        <x:v>6.628</x:v>
      </x:c>
      <x:c r="H10" s="2" t="str">
        <x:v>Thriller, Horror</x:v>
      </x:c>
      <x:c r="I10" s="6" t="str">
        <x:v>/4JG5WKfIGD6r7hdbqJVr2WKIxEe.jpg</x:v>
      </x:c>
      <x:c r="J10" s="7" t="str">
        <x:v>https://image.tmdb.org/t/p/w342/4JG5WKfIGD6r7hdbqJVr2WKIxEe.jpg</x:v>
      </x:c>
      <x:c r="K10" s="3" t="e">
        <x:f>IMAGE(J10)</x:f>
      </x:c>
      <x:c r="L10" s="8" t="n">
        <x:v>84</x:v>
      </x:c>
      <x:c r="M10" s="46" t="str">
        <x:v>The action continues from [REC], with the medical officer and a SWAT team outfitted with video cameras are sent into the sealed off apartment to control the situation.</x:v>
      </x:c>
      <x:c r="N10" s="2" t="n">
        <x:v>40071</x:v>
      </x:c>
      <x:c r="O10" s="2" t="str">
        <x:v>Unwatched</x:v>
      </x:c>
      <x:c r="P10" s="9"/>
      <x:c r="Q10" s="6"/>
      <x:c r="R10" s="2" t="str">
        <x:v>https://www.themoviedb.org/movie/10664</x:v>
      </x:c>
      <x:c r="S10" s="10" t="str">
        <x:v>Matched</x:v>
      </x:c>
    </x:row>
    <x:row r="11" ht="90" customHeight="1">
      <x:c r="A11" s="2" t="str">
        <x:v>[REC] 4: Apocalipsis (2014)</x:v>
      </x:c>
      <x:c r="B11" s="2" t="str">
        <x:v>[REC] 4: Apocalipsis</x:v>
      </x:c>
      <x:c r="C11" s="3" t="n">
        <x:v>2014</x:v>
      </x:c>
      <x:c r="D11" s="2" t="str">
        <x:v>Blu-ray</x:v>
      </x:c>
      <x:c r="E11" s="4"/>
      <x:c r="F11" s="3" t="n">
        <x:v>185341</x:v>
      </x:c>
      <x:c r="G11" s="5" t="n">
        <x:v>5.619</x:v>
      </x:c>
      <x:c r="H11" s="2" t="str">
        <x:v>Thriller, Horror</x:v>
      </x:c>
      <x:c r="I11" s="6" t="str">
        <x:v>/vbflx4rDj3YrRAAk4HSWsEgZVlK.jpg</x:v>
      </x:c>
      <x:c r="J11" s="7" t="str">
        <x:v>https://image.tmdb.org/t/p/w342/vbflx4rDj3YrRAAk4HSWsEgZVlK.jpg</x:v>
      </x:c>
      <x:c r="K11" s="3" t="e">
        <x:f>IMAGE(J11)</x:f>
      </x:c>
      <x:c r="L11" s="8" t="n">
        <x:v>95</x:v>
      </x:c>
      <x:c r="M11" s="46" t="str">
        <x:v>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x:v>
      </x:c>
      <x:c r="N11" s="2" t="n">
        <x:v>41943</x:v>
      </x:c>
      <x:c r="O11" s="2" t="str">
        <x:v>Unwatched</x:v>
      </x:c>
      <x:c r="P11" s="9"/>
      <x:c r="Q11" s="6"/>
      <x:c r="R11" s="2" t="str">
        <x:v>https://www.themoviedb.org/movie/185341</x:v>
      </x:c>
      <x:c r="S11" s="10" t="str">
        <x:v>Matched</x:v>
      </x:c>
    </x:row>
    <x:row r="12" ht="90" customHeight="1">
      <x:c r="A12" s="2" t="str">
        <x:v>[REC]³: Genesis (2012)</x:v>
      </x:c>
      <x:c r="B12" s="2" t="str">
        <x:v>[REC]³: Genesis</x:v>
      </x:c>
      <x:c r="C12" s="3" t="n">
        <x:v>2012</x:v>
      </x:c>
      <x:c r="D12" s="2" t="str">
        <x:v>Blu-ray</x:v>
      </x:c>
      <x:c r="E12" s="4"/>
      <x:c r="F12" s="3" t="n">
        <x:v>80280</x:v>
      </x:c>
      <x:c r="G12" s="5" t="n">
        <x:v>5.3</x:v>
      </x:c>
      <x:c r="H12" s="2" t="str">
        <x:v>Horror</x:v>
      </x:c>
      <x:c r="I12" s="6" t="str">
        <x:v>/tI1534q0Up7PBcLdXdFerLmIXn3.jpg</x:v>
      </x:c>
      <x:c r="J12" s="7" t="str">
        <x:v>https://image.tmdb.org/t/p/w342/tI1534q0Up7PBcLdXdFerLmIXn3.jpg</x:v>
      </x:c>
      <x:c r="K12" s="3" t="e">
        <x:f>IMAGE(J12)</x:f>
      </x:c>
      <x:c r="L12" s="8" t="n">
        <x:v>80</x:v>
      </x:c>
      <x:c r="M12" s="46" t="str">
        <x:v>A pair of newlyweds must fight to survive when their wedding reception descends into chaos and carnage when their guests become infected by a virus that turns them into hungry zombies.</x:v>
      </x:c>
      <x:c r="N12" s="2" t="n">
        <x:v>40998</x:v>
      </x:c>
      <x:c r="O12" s="2" t="str">
        <x:v>Unwatched</x:v>
      </x:c>
      <x:c r="P12" s="9"/>
      <x:c r="Q12" s="6"/>
      <x:c r="R12" s="2" t="str">
        <x:v>https://www.themoviedb.org/movie/80280</x:v>
      </x:c>
      <x:c r="S12" s="10" t="str">
        <x:v>Matched</x:v>
      </x:c>
    </x:row>
    <x:row r="13" ht="90" customHeight="1">
      <x:c r="A13" s="2" t="str">
        <x:v>The ABCs of Death (2012)</x:v>
      </x:c>
      <x:c r="B13" s="2" t="str">
        <x:v>The ABCs of Death</x:v>
      </x:c>
      <x:c r="C13" s="3" t="n">
        <x:v>2012</x:v>
      </x:c>
      <x:c r="D13" s="2" t="str">
        <x:v>Blu-ray</x:v>
      </x:c>
      <x:c r="E13" s="4"/>
      <x:c r="F13" s="3" t="n">
        <x:v>87436</x:v>
      </x:c>
      <x:c r="G13" s="5" t="n">
        <x:v>4.953</x:v>
      </x:c>
      <x:c r="H13" s="2" t="str">
        <x:v>Horror</x:v>
      </x:c>
      <x:c r="I13" s="6" t="str">
        <x:v>/k3TcTGCgvvvhAiW9pkyWNz9CoNN.jpg</x:v>
      </x:c>
      <x:c r="J13" s="7" t="str">
        <x:v>https://image.tmdb.org/t/p/w342/k3TcTGCgvvvhAiW9pkyWNz9CoNN.jpg</x:v>
      </x:c>
      <x:c r="K13" s="3" t="e">
        <x:f>IMAGE(J13)</x:f>
      </x:c>
      <x:c r="L13" s="8" t="n">
        <x:v>129</x:v>
      </x:c>
      <x:c r="M13" s="46" t="str">
        <x:v>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x:v>
      </x:c>
      <x:c r="N13" s="2" t="n">
        <x:v>41341</x:v>
      </x:c>
      <x:c r="O13" s="2" t="str">
        <x:v>Unwatched</x:v>
      </x:c>
      <x:c r="P13" s="9"/>
      <x:c r="Q13" s="6"/>
      <x:c r="R13" s="2" t="str">
        <x:v>https://www.themoviedb.org/movie/87436</x:v>
      </x:c>
      <x:c r="S13" s="10" t="str">
        <x:v>Matched</x:v>
      </x:c>
    </x:row>
    <x:row r="14" ht="90" customHeight="1">
      <x:c r="A14" s="2" t="str">
        <x:v>Ace Ventura: Pet Detective (1994)</x:v>
      </x:c>
      <x:c r="B14" s="2" t="str">
        <x:v>Ace Ventura: Pet Detective</x:v>
      </x:c>
      <x:c r="C14" s="3" t="n">
        <x:v>1994</x:v>
      </x:c>
      <x:c r="D14" s="2" t="str">
        <x:v>Blu-ray</x:v>
      </x:c>
      <x:c r="E14" s="4"/>
      <x:c r="F14" s="3" t="n">
        <x:v>3049</x:v>
      </x:c>
      <x:c r="G14" s="5" t="n">
        <x:v>6.6</x:v>
      </x:c>
      <x:c r="H14" s="2" t="str">
        <x:v>Comedy, Crime, Mystery</x:v>
      </x:c>
      <x:c r="I14" s="6" t="str">
        <x:v>/pqiRuETmuSybfnVZ7qyeoXhQyN1.jpg</x:v>
      </x:c>
      <x:c r="J14" s="7" t="str">
        <x:v>https://image.tmdb.org/t/p/w342/pqiRuETmuSybfnVZ7qyeoXhQyN1.jpg</x:v>
      </x:c>
      <x:c r="K14" s="3" t="e">
        <x:f>IMAGE(J14)</x:f>
      </x:c>
      <x:c r="L14" s="8" t="n">
        <x:v>86</x:v>
      </x:c>
      <x:c r="M14" s="46" t="str">
        <x:v>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x:v>
      </x:c>
      <x:c r="N14" s="2" t="n">
        <x:v>34369</x:v>
      </x:c>
      <x:c r="O14" s="2" t="str">
        <x:v>Unwatched</x:v>
      </x:c>
      <x:c r="P14" s="9"/>
      <x:c r="Q14" s="6"/>
      <x:c r="R14" s="2" t="str">
        <x:v>https://www.themoviedb.org/movie/3049</x:v>
      </x:c>
      <x:c r="S14" s="10" t="str">
        <x:v>Matched</x:v>
      </x:c>
    </x:row>
    <x:row r="15" ht="90" customHeight="1">
      <x:c r="A15" s="2" t="str">
        <x:v>Adventureland (2009)</x:v>
      </x:c>
      <x:c r="B15" s="2" t="str">
        <x:v>Adventureland</x:v>
      </x:c>
      <x:c r="C15" s="3" t="n">
        <x:v>2009</x:v>
      </x:c>
      <x:c r="D15" s="2" t="str">
        <x:v>Blu-ray</x:v>
      </x:c>
      <x:c r="E15" s="4"/>
      <x:c r="F15" s="3" t="n">
        <x:v>16614</x:v>
      </x:c>
      <x:c r="G15" s="5" t="n">
        <x:v>6.399</x:v>
      </x:c>
      <x:c r="H15" s="2" t="str">
        <x:v>Comedy, Drama, Romance</x:v>
      </x:c>
      <x:c r="I15" s="6" t="str">
        <x:v>/eeSJNAR1aWcgANq26KWIHm3cbyB.jpg</x:v>
      </x:c>
      <x:c r="J15" s="7" t="str">
        <x:v>https://image.tmdb.org/t/p/w342/eeSJNAR1aWcgANq26KWIHm3cbyB.jpg</x:v>
      </x:c>
      <x:c r="K15" s="3" t="e">
        <x:f>IMAGE(J15)</x:f>
      </x:c>
      <x:c r="L15" s="8" t="n">
        <x:v>107</x:v>
      </x:c>
      <x:c r="M15" s="46" t="str">
        <x:v>It's the summer of 1987, and recent college grad James Brennan can't wait to begin his long-anticipated dream trip to Europe. Unfortunately, James' plans come to a screeching halt when his parents announce that they are unable to subsidize his trip. Forced to take a job at the local amusement park, James prepares for the worst summer ever, until he finds love with a captivating co-worker named Em.</x:v>
      </x:c>
      <x:c r="N15" s="2" t="n">
        <x:v>39906</x:v>
      </x:c>
      <x:c r="O15" s="2" t="str">
        <x:v>Unwatched</x:v>
      </x:c>
      <x:c r="P15" s="9"/>
      <x:c r="Q15" s="6"/>
      <x:c r="R15" s="2" t="str">
        <x:v>https://www.themoviedb.org/movie/16614</x:v>
      </x:c>
      <x:c r="S15" s="10" t="str">
        <x:v>Matched</x:v>
      </x:c>
    </x:row>
    <x:row r="16" ht="90" customHeight="1">
      <x:c r="A16" s="2" t="str">
        <x:v>Alexander and the Terrible, Horrible, No Good, Very Bad Day (2014)</x:v>
      </x:c>
      <x:c r="B16" s="2" t="str">
        <x:v>Alexander and the Terrible, Horrible, No Good, Very Bad Day</x:v>
      </x:c>
      <x:c r="C16" s="3" t="n">
        <x:v>2014</x:v>
      </x:c>
      <x:c r="D16" s="2" t="str">
        <x:v>Blu-ray</x:v>
      </x:c>
      <x:c r="E16" s="4"/>
      <x:c r="F16" s="3" t="n">
        <x:v>218778</x:v>
      </x:c>
      <x:c r="G16" s="5" t="n">
        <x:v>6.2</x:v>
      </x:c>
      <x:c r="H16" s="2" t="str">
        <x:v>Family, Comedy</x:v>
      </x:c>
      <x:c r="I16" s="6" t="str">
        <x:v>/pxbAepXQjsGFDHaR3dPndFSxDU0.jpg</x:v>
      </x:c>
      <x:c r="J16" s="7" t="str">
        <x:v>https://image.tmdb.org/t/p/w342/pxbAepXQjsGFDHaR3dPndFSxDU0.jpg</x:v>
      </x:c>
      <x:c r="K16" s="3" t="e">
        <x:f>IMAGE(J16)</x:f>
      </x:c>
      <x:c r="L16" s="8" t="n">
        <x:v>81</x:v>
      </x:c>
      <x:c r="M16" s="46" t="str">
        <x: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x:v>
      </x:c>
      <x:c r="N16" s="2" t="n">
        <x:v>41920</x:v>
      </x:c>
      <x:c r="O16" s="2" t="str">
        <x:v>Unwatched</x:v>
      </x:c>
      <x:c r="P16" s="9"/>
      <x:c r="Q16" s="6"/>
      <x:c r="R16" s="2" t="str">
        <x:v>https://www.themoviedb.org/movie/218778</x:v>
      </x:c>
      <x:c r="S16" s="10" t="str">
        <x:v>Matched</x:v>
      </x:c>
    </x:row>
    <x:row r="17" ht="90" customHeight="1">
      <x:c r="A17" s="2" t="str">
        <x:v>All Hallows' Eve (2013)</x:v>
      </x:c>
      <x:c r="B17" s="2" t="str">
        <x:v>All Hallows' Eve</x:v>
      </x:c>
      <x:c r="C17" s="3" t="n">
        <x:v>2013</x:v>
      </x:c>
      <x:c r="D17" s="2" t="str">
        <x:v>Blu-ray</x:v>
      </x:c>
      <x:c r="E17" s="4"/>
      <x:c r="F17" s="3" t="n">
        <x:v>231001</x:v>
      </x:c>
      <x:c r="G17" s="5" t="n">
        <x:v>5.652</x:v>
      </x:c>
      <x:c r="H17" s="2" t="str">
        <x:v>Horror</x:v>
      </x:c>
      <x:c r="I17" s="6" t="str">
        <x:v>/bSe8CBqK8HkbP6sqZWzcJfQV9Ci.jpg</x:v>
      </x:c>
      <x:c r="J17" s="7" t="str">
        <x:v>https://image.tmdb.org/t/p/w342/bSe8CBqK8HkbP6sqZWzcJfQV9Ci.jpg</x:v>
      </x:c>
      <x:c r="K17" s="3" t="e">
        <x:f>IMAGE(J17)</x:f>
      </x:c>
      <x:c r="L17" s="8" t="n">
        <x:v>82</x:v>
      </x:c>
      <x:c r="M17" s="46" t="str">
        <x:v>While watching two children on Halloween night, a babysitter finds an old VHS tape in the kids' trick or treat bag. The tape features three tales of terror, all linked together by a murderous clown.</x:v>
      </x:c>
      <x:c r="N17" s="2" t="n">
        <x:v>41576</x:v>
      </x:c>
      <x:c r="O17" s="2" t="str">
        <x:v>Unwatched</x:v>
      </x:c>
      <x:c r="P17" s="9"/>
      <x:c r="Q17" s="6"/>
      <x:c r="R17" s="2" t="str">
        <x:v>https://www.themoviedb.org/movie/231001</x:v>
      </x:c>
      <x:c r="S17" s="10" t="str">
        <x:v>Matched</x:v>
      </x:c>
    </x:row>
    <x:row r="18" ht="90" customHeight="1">
      <x:c r="A18" s="2" t="str">
        <x:v>American Sniper (2014)</x:v>
      </x:c>
      <x:c r="B18" s="2" t="str">
        <x:v>American Sniper</x:v>
      </x:c>
      <x:c r="C18" s="3" t="n">
        <x:v>2014</x:v>
      </x:c>
      <x:c r="D18" s="2" t="str">
        <x:v>Blu-ray</x:v>
      </x:c>
      <x:c r="E18" s="4"/>
      <x:c r="F18" s="3" t="n">
        <x:v>190859</x:v>
      </x:c>
      <x:c r="G18" s="5" t="n">
        <x:v>7.412</x:v>
      </x:c>
      <x:c r="H18" s="2" t="str">
        <x:v>War, Action</x:v>
      </x:c>
      <x:c r="I18" s="6" t="str">
        <x:v>/vJgtfUmZE5i4L12sOryAPuBa04K.jpg</x:v>
      </x:c>
      <x:c r="J18" s="7" t="str">
        <x:v>https://image.tmdb.org/t/p/w342/vJgtfUmZE5i4L12sOryAPuBa04K.jpg</x:v>
      </x:c>
      <x:c r="K18" s="3" t="e">
        <x:f>IMAGE(J18)</x:f>
      </x:c>
      <x:c r="L18" s="8" t="n">
        <x:v>133</x:v>
      </x:c>
      <x:c r="M18" s="46" t="str">
        <x:v>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x:v>
      </x:c>
      <x:c r="N18" s="2" t="n">
        <x:v>41998</x:v>
      </x:c>
      <x:c r="O18" s="2" t="str">
        <x:v>Unwatched</x:v>
      </x:c>
      <x:c r="P18" s="9"/>
      <x:c r="Q18" s="6"/>
      <x:c r="R18" s="2" t="str">
        <x:v>https://www.themoviedb.org/movie/190859</x:v>
      </x:c>
      <x:c r="S18" s="10" t="str">
        <x:v>Matched</x:v>
      </x:c>
    </x:row>
    <x:row r="19" ht="90" customHeight="1">
      <x:c r="A19" s="2" t="str">
        <x:v>Amusement (2008)</x:v>
      </x:c>
      <x:c r="B19" s="2" t="str">
        <x:v>Amusement</x:v>
      </x:c>
      <x:c r="C19" s="3" t="n">
        <x:v>2008</x:v>
      </x:c>
      <x:c r="D19" s="2" t="str">
        <x:v>Blu-ray</x:v>
      </x:c>
      <x:c r="E19" s="4"/>
      <x:c r="F19" s="3" t="n">
        <x:v>13803</x:v>
      </x:c>
      <x:c r="G19" s="5" t="n">
        <x:v>5.608</x:v>
      </x:c>
      <x:c r="H19" s="2" t="str">
        <x:v>Horror, Mystery</x:v>
      </x:c>
      <x:c r="I19" s="6" t="str">
        <x:v>/1XosEzjwTxL4NrVhn7ldunA3kfr.jpg</x:v>
      </x:c>
      <x:c r="J19" s="7" t="str">
        <x:v>https://image.tmdb.org/t/p/w342/1XosEzjwTxL4NrVhn7ldunA3kfr.jpg</x:v>
      </x:c>
      <x:c r="K19" s="3" t="e">
        <x:f>IMAGE(J19)</x:f>
      </x:c>
      <x:c r="L19" s="8" t="n">
        <x:v>85</x:v>
      </x:c>
      <x:c r="M19" s="46" t="str">
        <x:v>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x:v>
      </x:c>
      <x:c r="N19" s="2" t="n">
        <x:v>39730</x:v>
      </x:c>
      <x:c r="O19" s="2" t="str">
        <x:v>Unwatched</x:v>
      </x:c>
      <x:c r="P19" s="9"/>
      <x:c r="Q19" s="6"/>
      <x:c r="R19" s="2" t="str">
        <x:v>https://www.themoviedb.org/movie/13803</x:v>
      </x:c>
      <x:c r="S19" s="10" t="str">
        <x:v>Matched</x:v>
      </x:c>
    </x:row>
    <x:row r="20" ht="90" customHeight="1">
      <x:c r="A20" s="2" t="str">
        <x:v>Anchorman 2: The Legend Continues (2013)</x:v>
      </x:c>
      <x:c r="B20" s="2" t="str">
        <x:v>Anchorman 2: The Legend Continues</x:v>
      </x:c>
      <x:c r="C20" s="3" t="n">
        <x:v>2013</x:v>
      </x:c>
      <x:c r="D20" s="2" t="str">
        <x:v>Blu-ray</x:v>
      </x:c>
      <x:c r="E20" s="4"/>
      <x:c r="F20" s="3" t="n">
        <x:v>109443</x:v>
      </x:c>
      <x:c r="G20" s="5" t="n">
        <x:v>6.147</x:v>
      </x:c>
      <x:c r="H20" s="2" t="str">
        <x:v>Comedy</x:v>
      </x:c>
      <x:c r="I20" s="6" t="str">
        <x:v>/BAdmxMdCqzjs6hx3KuEtnoWP8d.jpg</x:v>
      </x:c>
      <x:c r="J20" s="7" t="str">
        <x:v>https://image.tmdb.org/t/p/w342/BAdmxMdCqzjs6hx3KuEtnoWP8d.jpg</x:v>
      </x:c>
      <x:c r="K20" s="3" t="e">
        <x:f>IMAGE(J20)</x:f>
      </x:c>
      <x:c r="L20" s="8" t="n">
        <x:v>119</x:v>
      </x:c>
      <x:c r="M20" s="46" t="str">
        <x:v>With the 70s behind him, San Diego's top rated newsman, Ron Burgundy, returns to take New York's first 24-hour news channel by storm.</x:v>
      </x:c>
      <x:c r="N20" s="2" t="n">
        <x:v>41626</x:v>
      </x:c>
      <x:c r="O20" s="2" t="str">
        <x:v>Unwatched</x:v>
      </x:c>
      <x:c r="P20" s="9"/>
      <x:c r="Q20" s="6"/>
      <x:c r="R20" s="2" t="str">
        <x:v>https://www.themoviedb.org/movie/109443</x:v>
      </x:c>
      <x:c r="S20" s="10" t="str">
        <x:v>Matched</x:v>
      </x:c>
    </x:row>
    <x:row r="21" ht="90" customHeight="1">
      <x:c r="A21" s="2" t="str">
        <x:v>Annabelle (2014)</x:v>
      </x:c>
      <x:c r="B21" s="2" t="str">
        <x:v>Annabelle</x:v>
      </x:c>
      <x:c r="C21" s="3" t="n">
        <x:v>2014</x:v>
      </x:c>
      <x:c r="D21" s="2" t="str">
        <x:v>Blu-ray</x:v>
      </x:c>
      <x:c r="E21" s="4"/>
      <x:c r="F21" s="3" t="n">
        <x:v>250546</x:v>
      </x:c>
      <x:c r="G21" s="5" t="n">
        <x:v>5.79</x:v>
      </x:c>
      <x:c r="H21" s="2" t="str">
        <x:v>Horror</x:v>
      </x:c>
      <x:c r="I21" s="6" t="str">
        <x:v>/yLsuU2P2SpDYFwtZQ7dtfVAf6TE.jpg</x:v>
      </x:c>
      <x:c r="J21" s="7" t="str">
        <x:v>https://image.tmdb.org/t/p/w342/yLsuU2P2SpDYFwtZQ7dtfVAf6TE.jpg</x:v>
      </x:c>
      <x:c r="K21" s="3" t="e">
        <x:f>IMAGE(J21)</x:f>
      </x:c>
      <x:c r="L21" s="8" t="n">
        <x:v>99</x:v>
      </x:c>
      <x:c r="M21" s="46" t="str">
        <x:v>A couple begins to experience terrifying supernatural occurrences involving a vintage doll shortly after their home is invaded by satanic cultists.</x:v>
      </x:c>
      <x:c r="N21" s="2" t="n">
        <x:v>41913</x:v>
      </x:c>
      <x:c r="O21" s="2" t="str">
        <x:v>Unwatched</x:v>
      </x:c>
      <x:c r="P21" s="9"/>
      <x:c r="Q21" s="6"/>
      <x:c r="R21" s="2" t="str">
        <x:v>https://www.themoviedb.org/movie/250546</x:v>
      </x:c>
      <x:c r="S21" s="10" t="str">
        <x:v>Matched</x:v>
      </x:c>
    </x:row>
    <x:row r="22" ht="90" customHeight="1">
      <x:c r="A22" s="2" t="str">
        <x:v>Annabelle Comes Home (2019)</x:v>
      </x:c>
      <x:c r="B22" s="2" t="str">
        <x:v>Annabelle Comes Home</x:v>
      </x:c>
      <x:c r="C22" s="3" t="n">
        <x:v>2019</x:v>
      </x:c>
      <x:c r="D22" s="2" t="str">
        <x:v>Blu-ray</x:v>
      </x:c>
      <x:c r="E22" s="4"/>
      <x:c r="F22" s="3" t="n">
        <x:v>521029</x:v>
      </x:c>
      <x:c r="G22" s="5" t="n">
        <x:v>6.41</x:v>
      </x:c>
      <x:c r="H22" s="2" t="str">
        <x:v>Horror</x:v>
      </x:c>
      <x:c r="I22" s="6" t="str">
        <x:v>/qWsHMrbg9DsBY3bCMk9jyYCRVRs.jpg</x:v>
      </x:c>
      <x:c r="J22" s="7" t="str">
        <x:v>https://image.tmdb.org/t/p/w342/qWsHMrbg9DsBY3bCMk9jyYCRVRs.jpg</x:v>
      </x:c>
      <x:c r="K22" s="3" t="e">
        <x:f>IMAGE(J22)</x:f>
      </x:c>
      <x:c r="L22" s="8" t="n">
        <x:v>106</x:v>
      </x:c>
      <x:c r="M22" s="46" t="str">
        <x:v>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x:v>
      </x:c>
      <x:c r="N22" s="2" t="n">
        <x:v>43642</x:v>
      </x:c>
      <x:c r="O22" s="2" t="str">
        <x:v>Unwatched</x:v>
      </x:c>
      <x:c r="P22" s="9"/>
      <x:c r="Q22" s="6"/>
      <x:c r="R22" s="2" t="str">
        <x:v>https://www.themoviedb.org/movie/521029</x:v>
      </x:c>
      <x:c r="S22" s="10" t="str">
        <x:v>Matched</x:v>
      </x:c>
    </x:row>
    <x:row r="23" ht="90" customHeight="1">
      <x:c r="A23" s="2" t="str">
        <x:v>Annabelle: Creation (2017)</x:v>
      </x:c>
      <x:c r="B23" s="2" t="str">
        <x:v>Annabelle: Creation</x:v>
      </x:c>
      <x:c r="C23" s="3" t="n">
        <x:v>2017</x:v>
      </x:c>
      <x:c r="D23" s="2" t="str">
        <x:v>Blu-ray</x:v>
      </x:c>
      <x:c r="E23" s="4"/>
      <x:c r="F23" s="3" t="n">
        <x:v>396422</x:v>
      </x:c>
      <x:c r="G23" s="5" t="n">
        <x:v>6.609</x:v>
      </x:c>
      <x:c r="H23" s="2" t="str">
        <x:v>Horror</x:v>
      </x:c>
      <x:c r="I23" s="6" t="str">
        <x:v>/tb86j8jVCVsdZnzf8I6cIi65IeM.jpg</x:v>
      </x:c>
      <x:c r="J23" s="7" t="str">
        <x:v>https://image.tmdb.org/t/p/w342/tb86j8jVCVsdZnzf8I6cIi65IeM.jpg</x:v>
      </x:c>
      <x:c r="K23" s="3" t="e">
        <x:f>IMAGE(J23)</x:f>
      </x:c>
      <x:c r="L23" s="8" t="n">
        <x:v>110</x:v>
      </x:c>
      <x:c r="M23" s="46" t="str">
        <x:v>Several years after the tragic death of their little girl, a doll maker and his wife welcome a nun and several girls from a shuttered orphanage into their home, soon becoming the target of the doll maker's possessed creation—Annabelle.</x:v>
      </x:c>
      <x:c r="N23" s="2" t="n">
        <x:v>42950</x:v>
      </x:c>
      <x:c r="O23" s="2" t="str">
        <x:v>Unwatched</x:v>
      </x:c>
      <x:c r="P23" s="9"/>
      <x:c r="Q23" s="6"/>
      <x:c r="R23" s="2" t="str">
        <x:v>https://www.themoviedb.org/movie/396422</x:v>
      </x:c>
      <x:c r="S23" s="10" t="str">
        <x:v>Matched</x:v>
      </x:c>
    </x:row>
    <x:row r="24" ht="90" customHeight="1">
      <x:c r="A24" s="2" t="str">
        <x:v>Aquaman (2018)</x:v>
      </x:c>
      <x:c r="B24" s="2" t="str">
        <x:v>Aquaman</x:v>
      </x:c>
      <x:c r="C24" s="3" t="n">
        <x:v>2018</x:v>
      </x:c>
      <x:c r="D24" s="2" t="str">
        <x:v>Blu-ray</x:v>
      </x:c>
      <x:c r="E24" s="4"/>
      <x:c r="F24" s="3" t="n">
        <x:v>297802</x:v>
      </x:c>
      <x:c r="G24" s="5" t="n">
        <x:v>6.9</x:v>
      </x:c>
      <x:c r="H24" s="2" t="str">
        <x:v>Action, Adventure, Fantasy</x:v>
      </x:c>
      <x:c r="I24" s="6" t="str">
        <x:v>/ufl63EFcc5XpByEV2Ecdw6WJZAI.jpg</x:v>
      </x:c>
      <x:c r="J24" s="7" t="str">
        <x:v>https://image.tmdb.org/t/p/w342/ufl63EFcc5XpByEV2Ecdw6WJZAI.jpg</x:v>
      </x:c>
      <x:c r="K24" s="3" t="e">
        <x:f>IMAGE(J24)</x:f>
      </x:c>
      <x:c r="L24" s="8" t="n">
        <x:v>143</x:v>
      </x:c>
      <x:c r="M24" s="46" t="str">
        <x:v>Half-human, half-Atlantean Arthur Curry is taken on the journey of his lifetime to discover if he is worth of being a king.</x:v>
      </x:c>
      <x:c r="N24" s="2" t="n">
        <x:v>43441</x:v>
      </x:c>
      <x:c r="O24" s="2" t="str">
        <x:v>Unwatched</x:v>
      </x:c>
      <x:c r="P24" s="9"/>
      <x:c r="Q24" s="6"/>
      <x:c r="R24" s="2" t="str">
        <x:v>https://www.themoviedb.org/movie/297802</x:v>
      </x:c>
      <x:c r="S24" s="10" t="str">
        <x:v>Matched</x:v>
      </x:c>
    </x:row>
    <x:row r="25" ht="90" customHeight="1">
      <x:c r="A25" s="2" t="str">
        <x:v>As Above, So Below (2014)</x:v>
      </x:c>
      <x:c r="B25" s="2" t="str">
        <x:v>As Above, So Below</x:v>
      </x:c>
      <x:c r="C25" s="3" t="n">
        <x:v>2014</x:v>
      </x:c>
      <x:c r="D25" s="2" t="str">
        <x:v>Blu-ray</x:v>
      </x:c>
      <x:c r="E25" s="4"/>
      <x:c r="F25" s="3" t="n">
        <x:v>256274</x:v>
      </x:c>
      <x:c r="G25" s="5" t="n">
        <x:v>6.74</x:v>
      </x:c>
      <x:c r="H25" s="2" t="str">
        <x:v>Horror, Thriller</x:v>
      </x:c>
      <x:c r="I25" s="6" t="str">
        <x:v>/oJZSajKLJkoTOzSZQN2ZwRnPwHZ.jpg</x:v>
      </x:c>
      <x:c r="J25" s="7" t="str">
        <x:v>https://image.tmdb.org/t/p/w342/oJZSajKLJkoTOzSZQN2ZwRnPwHZ.jpg</x:v>
      </x:c>
      <x:c r="K25" s="3" t="e">
        <x:f>IMAGE(J25)</x:f>
      </x:c>
      <x:c r="L25" s="8" t="n">
        <x:v>93</x:v>
      </x:c>
      <x:c r="M25" s="46" t="str">
        <x:v>When a team of explorers venture into the catacombs that lie beneath the streets of Paris, they uncover the dark secret that lies within this city of the dead.</x:v>
      </x:c>
      <x:c r="N25" s="2" t="n">
        <x:v>41865</x:v>
      </x:c>
      <x:c r="O25" s="2" t="str">
        <x:v>Unwatched</x:v>
      </x:c>
      <x:c r="P25" s="9"/>
      <x:c r="Q25" s="6"/>
      <x:c r="R25" s="2" t="str">
        <x:v>https://www.themoviedb.org/movie/256274</x:v>
      </x:c>
      <x:c r="S25" s="10" t="str">
        <x:v>Matched</x:v>
      </x:c>
    </x:row>
    <x:row r="26" ht="90" customHeight="1">
      <x:c r="A26" s="2" t="str">
        <x:v>Audition (1999)</x:v>
      </x:c>
      <x:c r="B26" s="2" t="str">
        <x:v>Audition</x:v>
      </x:c>
      <x:c r="C26" s="3" t="n">
        <x:v>1999</x:v>
      </x:c>
      <x:c r="D26" s="2" t="str">
        <x:v>Blu-ray</x:v>
      </x:c>
      <x:c r="E26" s="4"/>
      <x:c r="F26" s="3" t="n">
        <x:v>29545</x:v>
      </x:c>
      <x:c r="G26" s="11" t="n">
        <x:v>4</x:v>
      </x:c>
      <x:c r="H26" s="2"/>
      <x:c r="I26" s="6" t="str">
        <x:v>/8Bnqect4lPvc4o2cONsrFuoSzrX.jpg</x:v>
      </x:c>
      <x:c r="J26" s="7" t="str">
        <x:v>https://image.tmdb.org/t/p/w342/8Bnqect4lPvc4o2cONsrFuoSzrX.jpg</x:v>
      </x:c>
      <x:c r="K26" s="3" t="e">
        <x:f>IMAGE(J26)</x:f>
      </x:c>
      <x:c r="L26" s="8" t="n">
        <x:v>88</x:v>
      </x:c>
      <x:c r="M26" s="46" t="str">
        <x:v>Surrender Cinema has been known for their extremely erotic, almost explicit sci-fi films. While they generally do very well at these (Femalien 1 &amp;amp; 2, Virtual Encounters), this particular entry seems to be just a rehash of old tape. Any number of girls -- some recognizable and others not -- are in this film in all stages of nudity. There are also several clips from other films which are outstanding, unless you've seen those other films. There are a number of solo nude scenes doing a number of things -- some playing basketball, others talking, still others playing with themselves. The only thing of value in this tape is the very last scene -- a short but erotic girl-girl scene with a very enthusiastic and enjoyable Sandy Wasko and a more subdued Tammie Hainum.</x:v>
      </x:c>
      <x:c r="N26" s="2" t="n">
        <x:v>36161</x:v>
      </x:c>
      <x:c r="O26" s="2" t="str">
        <x:v>Unwatched</x:v>
      </x:c>
      <x:c r="P26" s="9"/>
      <x:c r="Q26" s="6"/>
      <x:c r="R26" s="2" t="str">
        <x:v>https://www.themoviedb.org/movie/29545</x:v>
      </x:c>
      <x:c r="S26" s="10" t="str">
        <x:v>Matched</x:v>
      </x:c>
    </x:row>
    <x:row r="27" ht="90" customHeight="1">
      <x:c r="A27" s="2" t="str">
        <x:v>The Autopsy of Jane Doe (2016)</x:v>
      </x:c>
      <x:c r="B27" s="2" t="str">
        <x:v>The Autopsy of Jane Doe</x:v>
      </x:c>
      <x:c r="C27" s="3" t="n">
        <x:v>2016</x:v>
      </x:c>
      <x:c r="D27" s="2" t="str">
        <x:v>Blu-ray</x:v>
      </x:c>
      <x:c r="E27" s="4"/>
      <x:c r="F27" s="3" t="n">
        <x:v>397243</x:v>
      </x:c>
      <x:c r="G27" s="5" t="n">
        <x:v>6.833</x:v>
      </x:c>
      <x:c r="H27" s="2" t="str">
        <x:v>Horror, Mystery</x:v>
      </x:c>
      <x:c r="I27" s="6" t="str">
        <x:v>/6K0wjP8kPCiPYy9PtXBGuypyt5I.jpg</x:v>
      </x:c>
      <x:c r="J27" s="7" t="str">
        <x:v>https://image.tmdb.org/t/p/w342/6K0wjP8kPCiPYy9PtXBGuypyt5I.jpg</x:v>
      </x:c>
      <x:c r="K27" s="3" t="e">
        <x:f>IMAGE(J27)</x:f>
      </x:c>
      <x:c r="L27" s="8" t="n">
        <x:v>86</x:v>
      </x:c>
      <x:c r="M27" s="46" t="str">
        <x:v>Father and son coroners receive a mysterious unidentified corpse with no apparent cause of death. As they attempt to examine the "Jane Doe," they discover increasingly bizarre clues that hold the key to her terrifying secrets.</x:v>
      </x:c>
      <x:c r="N27" s="2" t="n">
        <x:v>42725</x:v>
      </x:c>
      <x:c r="O27" s="2" t="str">
        <x:v>Unwatched</x:v>
      </x:c>
      <x:c r="P27" s="9"/>
      <x:c r="Q27" s="6"/>
      <x:c r="R27" s="2" t="str">
        <x:v>https://www.themoviedb.org/movie/397243</x:v>
      </x:c>
      <x:c r="S27" s="10" t="str">
        <x:v>Matched</x:v>
      </x:c>
    </x:row>
    <x:row r="28" ht="90" customHeight="1">
      <x:c r="A28" s="2" t="str">
        <x:v>Bad Grandpa (2013)</x:v>
      </x:c>
      <x:c r="B28" s="2" t="str">
        <x:v>Bad Grandpa</x:v>
      </x:c>
      <x:c r="C28" s="3" t="n">
        <x:v>2013</x:v>
      </x:c>
      <x:c r="D28" s="2" t="str">
        <x:v>Blu-ray</x:v>
      </x:c>
      <x:c r="E28" s="4"/>
      <x:c r="F28" s="3" t="n">
        <x:v>208134</x:v>
      </x:c>
      <x:c r="G28" s="5" t="n">
        <x:v>6.153</x:v>
      </x:c>
      <x:c r="H28" s="2" t="str">
        <x:v>Comedy</x:v>
      </x:c>
      <x:c r="I28" s="6" t="str">
        <x:v>/dDSMzBEaM0LYSy9Muo0zsCo77Vh.jpg</x:v>
      </x:c>
      <x:c r="J28" s="7" t="str">
        <x:v>https://image.tmdb.org/t/p/w342/dDSMzBEaM0LYSy9Muo0zsCo77Vh.jpg</x:v>
      </x:c>
      <x:c r="K28" s="3" t="e">
        <x:f>IMAGE(J28)</x:f>
      </x:c>
      <x:c r="L28" s="8" t="n">
        <x:v>92</x:v>
      </x:c>
      <x:c r="M28" s="46" t="str">
        <x:v>86-year-old Irving Zisman is on a journey across America with the most unlikely companion: his 8 year-old grandson, Billy.</x:v>
      </x:c>
      <x:c r="N28" s="2" t="n">
        <x:v>41569</x:v>
      </x:c>
      <x:c r="O28" s="2" t="str">
        <x:v>Unwatched</x:v>
      </x:c>
      <x:c r="P28" s="9"/>
      <x:c r="Q28" s="6"/>
      <x:c r="R28" s="2" t="str">
        <x:v>https://www.themoviedb.org/movie/208134</x:v>
      </x:c>
      <x:c r="S28" s="10" t="str">
        <x:v>Matched</x:v>
      </x:c>
    </x:row>
    <x:row r="29" ht="90" customHeight="1">
      <x:c r="A29" s="2" t="str">
        <x:v>Bad Santa (2003)</x:v>
      </x:c>
      <x:c r="B29" s="2" t="str">
        <x:v>Bad Santa</x:v>
      </x:c>
      <x:c r="C29" s="3" t="n">
        <x:v>2003</x:v>
      </x:c>
      <x:c r="D29" s="2" t="str">
        <x:v>Blu-ray</x:v>
      </x:c>
      <x:c r="E29" s="4"/>
      <x:c r="F29" s="3" t="n">
        <x:v>10147</x:v>
      </x:c>
      <x:c r="G29" s="5" t="n">
        <x:v>6.567</x:v>
      </x:c>
      <x:c r="H29" s="2" t="str">
        <x:v>Drama, Comedy, Crime</x:v>
      </x:c>
      <x:c r="I29" s="6" t="str">
        <x:v>/rfClLIyeHqpMofmrPY8DaLe4z9x.jpg</x:v>
      </x:c>
      <x:c r="J29" s="7" t="str">
        <x:v>https://image.tmdb.org/t/p/w342/rfClLIyeHqpMofmrPY8DaLe4z9x.jpg</x:v>
      </x:c>
      <x:c r="K29" s="3" t="e">
        <x:f>IMAGE(J29)</x:f>
      </x:c>
      <x:c r="L29" s="8" t="n">
        <x:v>92</x:v>
      </x:c>
      <x:c r="M29" s="46" t="str">
        <x:v>You'd better watch out - Willie T. Soke is coming to town, and he doesn't care if you've been naughty or nice. Willie's favorite holiday tradition is to fill his sacks with loot lifted from shopping malls across the country. But this year his plot gets derailed by a wisecracking store detective, a sexy bartender, and a kid who's convinced Willie is the real Santa Claus.</x:v>
      </x:c>
      <x:c r="N29" s="2" t="n">
        <x:v>37951</x:v>
      </x:c>
      <x:c r="O29" s="2" t="str">
        <x:v>Unwatched</x:v>
      </x:c>
      <x:c r="P29" s="9"/>
      <x:c r="Q29" s="6"/>
      <x:c r="R29" s="2" t="str">
        <x:v>https://www.themoviedb.org/movie/10147</x:v>
      </x:c>
      <x:c r="S29" s="10" t="str">
        <x:v>Matched</x:v>
      </x:c>
    </x:row>
    <x:row r="30" ht="90" customHeight="1">
      <x:c r="A30" s="2" t="str">
        <x:v>Batman Begins (2005)</x:v>
      </x:c>
      <x:c r="B30" s="2" t="str">
        <x:v>Batman Begins</x:v>
      </x:c>
      <x:c r="C30" s="3" t="n">
        <x:v>2005</x:v>
      </x:c>
      <x:c r="D30" s="2" t="str">
        <x:v>Blu-ray</x:v>
      </x:c>
      <x:c r="E30" s="4"/>
      <x:c r="F30" s="3" t="n">
        <x:v>272</x:v>
      </x:c>
      <x:c r="G30" s="5" t="n">
        <x:v>7.725</x:v>
      </x:c>
      <x:c r="H30" s="2" t="str">
        <x:v>Drama, Crime, Action</x:v>
      </x:c>
      <x:c r="I30" s="6" t="str">
        <x:v>/sPX89Td70IDDjVr85jdSBb4rWGr.jpg</x:v>
      </x:c>
      <x:c r="J30" s="7" t="str">
        <x:v>https://image.tmdb.org/t/p/w342/sPX89Td70IDDjVr85jdSBb4rWGr.jpg</x:v>
      </x:c>
      <x:c r="K30" s="3" t="e">
        <x:f>IMAGE(J30)</x:f>
      </x:c>
      <x:c r="L30" s="8" t="n">
        <x:v>140</x:v>
      </x:c>
      <x:c r="M30" s="46" t="str">
        <x:v>Driven by tragedy, billionaire Bruce Wayne dedicates his life to uncovering and defeating the corruption that plagues his home, Gotham City.  Unable to work within the system, he instead creates a new identity, a symbol of fear for the criminal underworld - The Batman.</x:v>
      </x:c>
      <x:c r="N30" s="2" t="n">
        <x:v>38513</x:v>
      </x:c>
      <x:c r="O30" s="2" t="str">
        <x:v>Unwatched</x:v>
      </x:c>
      <x:c r="P30" s="9"/>
      <x:c r="Q30" s="6"/>
      <x:c r="R30" s="2" t="str">
        <x:v>https://www.themoviedb.org/movie/272</x:v>
      </x:c>
      <x:c r="S30" s="10" t="str">
        <x:v>Matched</x:v>
      </x:c>
    </x:row>
    <x:row r="31" ht="90" customHeight="1">
      <x:c r="A31" s="2" t="str">
        <x:v>Battle Royale (2000)</x:v>
      </x:c>
      <x:c r="B31" s="2" t="str">
        <x:v>Battle Royale</x:v>
      </x:c>
      <x:c r="C31" s="3" t="n">
        <x:v>2000</x:v>
      </x:c>
      <x:c r="D31" s="2" t="str">
        <x:v>Blu-ray</x:v>
      </x:c>
      <x:c r="E31" s="4"/>
      <x:c r="F31" s="3" t="n">
        <x:v>3176</x:v>
      </x:c>
      <x:c r="G31" s="5" t="n">
        <x:v>7.3</x:v>
      </x:c>
      <x:c r="H31" s="2" t="str">
        <x:v>Drama, Thriller, Action</x:v>
      </x:c>
      <x:c r="I31" s="6" t="str">
        <x:v>/aLGKAQKgzWpJ6egyWzzC11jXBRJ.jpg</x:v>
      </x:c>
      <x:c r="J31" s="7" t="str">
        <x:v>https://image.tmdb.org/t/p/w342/aLGKAQKgzWpJ6egyWzzC11jXBRJ.jpg</x:v>
      </x:c>
      <x:c r="K31" s="3" t="e">
        <x:f>IMAGE(J31)</x:f>
      </x:c>
      <x:c r="L31" s="8" t="n">
        <x:v>113</x:v>
      </x:c>
      <x:c r="M31" s="46" t="str">
        <x:v>In the future, the Japanese government captures a class of ninth-grade students and forces them to kill each other under the revolutionary "Battle Royale" act.</x:v>
      </x:c>
      <x:c r="N31" s="2" t="n">
        <x:v>36876</x:v>
      </x:c>
      <x:c r="O31" s="2" t="str">
        <x:v>Unwatched</x:v>
      </x:c>
      <x:c r="P31" s="9"/>
      <x:c r="Q31" s="6"/>
      <x:c r="R31" s="2" t="str">
        <x:v>https://www.themoviedb.org/movie/3176</x:v>
      </x:c>
      <x:c r="S31" s="10" t="str">
        <x:v>Matched</x:v>
      </x:c>
    </x:row>
    <x:row r="32" ht="90" customHeight="1">
      <x:c r="A32" s="2" t="str">
        <x:v>Behind the Mask: The Rise of Leslie Vernon (2006)</x:v>
      </x:c>
      <x:c r="B32" s="2" t="str">
        <x:v>Behind the Mask: The Rise of Leslie Vernon</x:v>
      </x:c>
      <x:c r="C32" s="3" t="n">
        <x:v>2006</x:v>
      </x:c>
      <x:c r="D32" s="2" t="str">
        <x:v>Blu-ray</x:v>
      </x:c>
      <x:c r="E32" s="4"/>
      <x:c r="F32" s="3" t="n">
        <x:v>10961</x:v>
      </x:c>
      <x:c r="G32" s="5" t="n">
        <x:v>6.461</x:v>
      </x:c>
      <x:c r="H32" s="2" t="str">
        <x:v>Comedy, Horror, Thriller</x:v>
      </x:c>
      <x:c r="I32" s="6" t="str">
        <x:v>/vie8a3z219Zsw81eAsM58B6VFEn.jpg</x:v>
      </x:c>
      <x:c r="J32" s="7" t="str">
        <x:v>https://image.tmdb.org/t/p/w342/vie8a3z219Zsw81eAsM58B6VFEn.jpg</x:v>
      </x:c>
      <x:c r="K32" s="3" t="e">
        <x:f>IMAGE(J32)</x:f>
      </x:c>
      <x:c r="L32" s="8" t="n">
        <x:v>91</x:v>
      </x:c>
      <x:c r="M32" s="46" t="str">
        <x:v>The next great psycho horror slasher has given a documentary crew exclusive access to his life as he plans his reign of terror over the sleepy town of Glen Echo, all the while deconstructing the conventions and archetypes of the horror genre for them.</x:v>
      </x:c>
      <x:c r="N32" s="2" t="n">
        <x:v>38958</x:v>
      </x:c>
      <x:c r="O32" s="2" t="str">
        <x:v>Unwatched</x:v>
      </x:c>
      <x:c r="P32" s="9"/>
      <x:c r="Q32" s="6"/>
      <x:c r="R32" s="2" t="str">
        <x:v>https://www.themoviedb.org/movie/10961</x:v>
      </x:c>
      <x:c r="S32" s="10" t="str">
        <x:v>Matched</x:v>
      </x:c>
    </x:row>
    <x:row r="33" ht="90" customHeight="1">
      <x:c r="A33" s="2" t="str">
        <x:v>The Big Lebowski (1998)</x:v>
      </x:c>
      <x:c r="B33" s="2" t="str">
        <x:v>The Big Lebowski</x:v>
      </x:c>
      <x:c r="C33" s="3" t="n">
        <x:v>1998</x:v>
      </x:c>
      <x:c r="D33" s="2" t="str">
        <x:v>Blu-ray</x:v>
      </x:c>
      <x:c r="E33" s="4"/>
      <x:c r="F33" s="3" t="n">
        <x:v>115</x:v>
      </x:c>
      <x:c r="G33" s="5" t="n">
        <x:v>7.839</x:v>
      </x:c>
      <x:c r="H33" s="2" t="str">
        <x:v>Comedy, Crime</x:v>
      </x:c>
      <x:c r="I33" s="6" t="str">
        <x:v>/3bv6WAp6BSxxYvB5ozKFUYuRA8C.jpg</x:v>
      </x:c>
      <x:c r="J33" s="7" t="str">
        <x:v>https://image.tmdb.org/t/p/w342/3bv6WAp6BSxxYvB5ozKFUYuRA8C.jpg</x:v>
      </x:c>
      <x:c r="K33" s="3" t="e">
        <x:f>IMAGE(J33)</x:f>
      </x:c>
      <x:c r="L33" s="8" t="n">
        <x:v>117</x:v>
      </x:c>
      <x:c r="M33" s="46" t="str">
        <x: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x:v>
      </x:c>
      <x:c r="N33" s="2" t="n">
        <x:v>35860</x:v>
      </x:c>
      <x:c r="O33" s="2" t="str">
        <x:v>Unwatched</x:v>
      </x:c>
      <x:c r="P33" s="9"/>
      <x:c r="Q33" s="6"/>
      <x:c r="R33" s="2" t="str">
        <x:v>https://www.themoviedb.org/movie/115</x:v>
      </x:c>
      <x:c r="S33" s="10" t="str">
        <x:v>Matched</x:v>
      </x:c>
    </x:row>
    <x:row r="34" ht="90" customHeight="1">
      <x:c r="A34" s="2" t="str">
        <x:v>The Black Phone (2021)</x:v>
      </x:c>
      <x:c r="B34" s="2" t="str">
        <x:v>The Black Phone</x:v>
      </x:c>
      <x:c r="C34" s="3" t="n">
        <x:v>2021</x:v>
      </x:c>
      <x:c r="D34" s="2" t="str">
        <x:v>Blu-ray</x:v>
      </x:c>
      <x:c r="E34" s="4"/>
      <x:c r="F34" s="3" t="n">
        <x:v>756999</x:v>
      </x:c>
      <x:c r="G34" s="5" t="n">
        <x:v>7.522</x:v>
      </x:c>
      <x:c r="H34" s="2" t="str">
        <x:v>Horror, Thriller</x:v>
      </x:c>
      <x:c r="I34" s="6" t="str">
        <x:v>/p9ZUzCyy9wRTDuuQexkQ78R2BgF.jpg</x:v>
      </x:c>
      <x:c r="J34" s="7" t="str">
        <x:v>https://image.tmdb.org/t/p/w342/p9ZUzCyy9wRTDuuQexkQ78R2BgF.jpg</x:v>
      </x:c>
      <x:c r="K34" s="3" t="e">
        <x:f>IMAGE(J34)</x:f>
      </x:c>
      <x:c r="L34" s="8" t="n">
        <x:v>103</x:v>
      </x:c>
      <x:c r="M34" s="46" t="str">
        <x:v>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x:v>
      </x:c>
      <x:c r="N34" s="2" t="n">
        <x:v>44728</x:v>
      </x:c>
      <x:c r="O34" s="2" t="str">
        <x:v>Unwatched</x:v>
      </x:c>
      <x:c r="P34" s="9"/>
      <x:c r="Q34" s="6"/>
      <x:c r="R34" s="2" t="str">
        <x:v>https://www.themoviedb.org/movie/756999</x:v>
      </x:c>
      <x:c r="S34" s="10" t="str">
        <x:v>Matched</x:v>
      </x:c>
    </x:row>
    <x:row r="35" ht="90" customHeight="1">
      <x:c r="A35" s="2" t="str">
        <x:v>Black Phone 2 (2025)</x:v>
      </x:c>
      <x:c r="B35" s="2" t="str">
        <x:v>Black Phone 2</x:v>
      </x:c>
      <x:c r="C35" s="3" t="n">
        <x:v>2025</x:v>
      </x:c>
      <x:c r="D35" s="2" t="str">
        <x:v>Blu-ray</x:v>
      </x:c>
      <x:c r="E35" s="4"/>
      <x:c r="F35" s="3" t="n">
        <x:v>1197137</x:v>
      </x:c>
      <x:c r="G35" s="5" t="n">
        <x:v>6.715</x:v>
      </x:c>
      <x:c r="H35" s="2" t="str">
        <x:v>Horror, Thriller</x:v>
      </x:c>
      <x:c r="I35" s="6" t="str">
        <x:v>/gFddBLQ8wj9M9O82iPzgX5KVNHz.jpg</x:v>
      </x:c>
      <x:c r="J35" s="7" t="str">
        <x:v>https://image.tmdb.org/t/p/w342/gFddBLQ8wj9M9O82iPzgX5KVNHz.jpg</x:v>
      </x:c>
      <x:c r="K35" s="3" t="e">
        <x:f>IMAGE(J35)</x:f>
      </x:c>
      <x:c r="L35" s="8" t="n">
        <x:v>114</x:v>
      </x:c>
      <x:c r="M35" s="46" t="str">
        <x:v>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x:v>
      </x:c>
      <x:c r="N35" s="2" t="n">
        <x:v>45945</x:v>
      </x:c>
      <x:c r="O35" s="2" t="str">
        <x:v>Unwatched</x:v>
      </x:c>
      <x:c r="P35" s="9"/>
      <x:c r="Q35" s="6"/>
      <x:c r="R35" s="2" t="str">
        <x:v>https://www.themoviedb.org/movie/1197137</x:v>
      </x:c>
      <x:c r="S35" s="10" t="str">
        <x:v>Matched</x:v>
      </x:c>
    </x:row>
    <x:row r="36" ht="90" customHeight="1">
      <x:c r="A36" s="2" t="str">
        <x:v>Black Sheep (2006)</x:v>
      </x:c>
      <x:c r="B36" s="2" t="str">
        <x:v>Black Sheep</x:v>
      </x:c>
      <x:c r="C36" s="3" t="n">
        <x:v>2006</x:v>
      </x:c>
      <x:c r="D36" s="2" t="str">
        <x:v>Blu-ray</x:v>
      </x:c>
      <x:c r="E36" s="4"/>
      <x:c r="F36" s="3" t="n">
        <x:v>3603</x:v>
      </x:c>
      <x:c r="G36" s="5" t="n">
        <x:v>5.772</x:v>
      </x:c>
      <x:c r="H36" s="2" t="str">
        <x:v>Horror, Comedy</x:v>
      </x:c>
      <x:c r="I36" s="6" t="str">
        <x:v>/b6Spp82Tg8rv4YUSHGWFqFbgp0q.jpg</x:v>
      </x:c>
      <x:c r="J36" s="7" t="str">
        <x:v>https://image.tmdb.org/t/p/w342/b6Spp82Tg8rv4YUSHGWFqFbgp0q.jpg</x:v>
      </x:c>
      <x:c r="K36" s="3" t="e">
        <x:f>IMAGE(J36)</x:f>
      </x:c>
      <x:c r="L36" s="8" t="n">
        <x:v>86</x:v>
      </x:c>
      <x:c r="M36" s="46" t="str">
        <x:v>After a childhood prank by his brother Angus causes Henry to develop a phobia of sheep, he must step up to the onslaught of a genetically-mutated man-eating flock with the help of his friend and a young environmentalist.</x:v>
      </x:c>
      <x:c r="N36" s="2" t="n">
        <x:v>38970</x:v>
      </x:c>
      <x:c r="O36" s="2" t="str">
        <x:v>Unwatched</x:v>
      </x:c>
      <x:c r="P36" s="9"/>
      <x:c r="Q36" s="6"/>
      <x:c r="R36" s="2" t="str">
        <x:v>https://www.themoviedb.org/movie/3603</x:v>
      </x:c>
      <x:c r="S36" s="10" t="str">
        <x:v>Matched</x:v>
      </x:c>
    </x:row>
    <x:row r="37" ht="90" customHeight="1">
      <x:c r="A37" s="2" t="str">
        <x:v>Blade Runner 2049 (2017)</x:v>
      </x:c>
      <x:c r="B37" s="2" t="str">
        <x:v>Blade Runner 2049</x:v>
      </x:c>
      <x:c r="C37" s="3" t="n">
        <x:v>2017</x:v>
      </x:c>
      <x:c r="D37" s="2" t="str">
        <x:v>Blu-ray</x:v>
      </x:c>
      <x:c r="E37" s="4"/>
      <x:c r="F37" s="3" t="n">
        <x:v>335984</x:v>
      </x:c>
      <x:c r="G37" s="5" t="n">
        <x:v>7.594</x:v>
      </x:c>
      <x:c r="H37" s="2" t="str">
        <x:v>Science Fiction, Drama</x:v>
      </x:c>
      <x:c r="I37" s="6" t="str">
        <x:v>/gajva2L0rPYkEWjzgFlBXCAVBE5.jpg</x:v>
      </x:c>
      <x:c r="J37" s="7" t="str">
        <x:v>https://image.tmdb.org/t/p/w342/gajva2L0rPYkEWjzgFlBXCAVBE5.jpg</x:v>
      </x:c>
      <x:c r="K37" s="3" t="e">
        <x:f>IMAGE(J37)</x:f>
      </x:c>
      <x:c r="L37" s="8" t="n">
        <x:v>164</x:v>
      </x:c>
      <x:c r="M37" s="46" t="str">
        <x: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x:v>
      </x:c>
      <x:c r="N37" s="2" t="n">
        <x:v>43012</x:v>
      </x:c>
      <x:c r="O37" s="2" t="str">
        <x:v>Unwatched</x:v>
      </x:c>
      <x:c r="P37" s="9"/>
      <x:c r="Q37" s="6"/>
      <x:c r="R37" s="2" t="str">
        <x:v>https://www.themoviedb.org/movie/335984</x:v>
      </x:c>
      <x:c r="S37" s="10" t="str">
        <x:v>Matched</x:v>
      </x:c>
    </x:row>
    <x:row r="38" ht="90" customHeight="1">
      <x:c r="A38" s="2" t="str">
        <x:v>Blood Fest (2018)</x:v>
      </x:c>
      <x:c r="B38" s="2" t="str">
        <x:v>Blood Fest</x:v>
      </x:c>
      <x:c r="C38" s="3" t="n">
        <x:v>2018</x:v>
      </x:c>
      <x:c r="D38" s="2" t="str">
        <x:v>Blu-ray</x:v>
      </x:c>
      <x:c r="E38" s="4"/>
      <x:c r="F38" s="3" t="n">
        <x:v>472226</x:v>
      </x:c>
      <x:c r="G38" s="5" t="n">
        <x:v>5.363</x:v>
      </x:c>
      <x:c r="H38" s="2" t="str">
        <x:v>Comedy, Horror</x:v>
      </x:c>
      <x:c r="I38" s="6" t="str">
        <x:v>/v7x4P33lZwstVgxlZGze18hBlD.jpg</x:v>
      </x:c>
      <x:c r="J38" s="7" t="str">
        <x:v>https://image.tmdb.org/t/p/w342/v7x4P33lZwstVgxlZGze18hBlD.jpg</x:v>
      </x:c>
      <x:c r="K38" s="3" t="e">
        <x:f>IMAGE(J38)</x:f>
      </x:c>
      <x:c r="L38" s="8" t="n">
        <x:v>93</x:v>
      </x:c>
      <x:c r="M38" s="46" t="str">
        <x:v>Fans flock to a festival celebrating the most iconic horror movies, only to discover that the charismatic showman behind the event has a diabolical agenda.</x:v>
      </x:c>
      <x:c r="N38" s="2" t="n">
        <x:v>43329</x:v>
      </x:c>
      <x:c r="O38" s="2" t="str">
        <x:v>Unwatched</x:v>
      </x:c>
      <x:c r="P38" s="9"/>
      <x:c r="Q38" s="6"/>
      <x:c r="R38" s="2" t="str">
        <x:v>https://www.themoviedb.org/movie/472226</x:v>
      </x:c>
      <x:c r="S38" s="10" t="str">
        <x:v>Matched</x:v>
      </x:c>
    </x:row>
    <x:row r="39" ht="90" customHeight="1">
      <x:c r="A39" s="2" t="str">
        <x:v>Blue Planet II (TV Series) (2017)</x:v>
      </x:c>
      <x:c r="B39" s="2" t="str">
        <x:v>Blue Planet II (TV Series)</x:v>
      </x:c>
      <x:c r="C39" s="3" t="n">
        <x:v>2017</x:v>
      </x:c>
      <x:c r="D39" s="2" t="str">
        <x:v>Blu-ray (Season 2)</x:v>
      </x:c>
      <x:c r="E39" s="12"/>
      <x:c r="F39" s="7"/>
      <x:c r="G39" s="11"/>
      <x:c r="H39" s="7"/>
      <x:c r="I39" s="7"/>
      <x:c r="J39" s="7"/>
      <x:c r="K39" s="7"/>
      <x:c r="L39" s="13"/>
      <x:c r="M39" s="46"/>
      <x:c r="N39" s="2"/>
      <x:c r="O39" s="2" t="str">
        <x:v>Unwatched</x:v>
      </x:c>
      <x:c r="P39" s="9"/>
      <x:c r="Q39" s="7"/>
      <x:c r="R39" s="2"/>
      <x:c r="S39" s="10" t="str">
        <x:v>No TMDB match / check title-year</x:v>
      </x:c>
    </x:row>
    <x:row r="40" ht="90" customHeight="1">
      <x:c r="A40" s="2" t="str">
        <x:v>Boogie Nights (1997)</x:v>
      </x:c>
      <x:c r="B40" s="2" t="str">
        <x:v>Boogie Nights</x:v>
      </x:c>
      <x:c r="C40" s="3" t="n">
        <x:v>1997</x:v>
      </x:c>
      <x:c r="D40" s="2" t="str">
        <x:v>Blu-ray</x:v>
      </x:c>
      <x:c r="E40" s="4"/>
      <x:c r="F40" s="3" t="n">
        <x:v>4995</x:v>
      </x:c>
      <x:c r="G40" s="5" t="n">
        <x:v>7.632</x:v>
      </x:c>
      <x:c r="H40" s="2" t="str">
        <x:v>Drama, Comedy</x:v>
      </x:c>
      <x:c r="I40" s="6" t="str">
        <x:v>/wnE24UPCPQsQnbBOu4zVE2qaDNm.jpg</x:v>
      </x:c>
      <x:c r="J40" s="7" t="str">
        <x:v>https://image.tmdb.org/t/p/w342/wnE24UPCPQsQnbBOu4zVE2qaDNm.jpg</x:v>
      </x:c>
      <x:c r="K40" s="3" t="e">
        <x:f>IMAGE(J40)</x:f>
      </x:c>
      <x:c r="L40" s="8" t="n">
        <x:v>156</x:v>
      </x:c>
      <x:c r="M40" s="46" t="str">
        <x:v>In 1977, an idealistic porn producer and his promising protege try to catch up with the end of an era before their never-ending party collides with cold, hard reality.</x:v>
      </x:c>
      <x:c r="N40" s="2" t="n">
        <x:v>35710</x:v>
      </x:c>
      <x:c r="O40" s="2" t="str">
        <x:v>Unwatched</x:v>
      </x:c>
      <x:c r="P40" s="9"/>
      <x:c r="Q40" s="6"/>
      <x:c r="R40" s="2" t="str">
        <x:v>https://www.themoviedb.org/movie/4995</x:v>
      </x:c>
      <x:c r="S40" s="10" t="str">
        <x:v>Matched</x:v>
      </x:c>
    </x:row>
    <x:row r="41" ht="90" customHeight="1">
      <x:c r="A41" s="2" t="str">
        <x:v>Borat: Cultural Learnings of America for Make Benefit Glorious Nation of Kazakhstan (2006)</x:v>
      </x:c>
      <x:c r="B41" s="2" t="str">
        <x:v>Borat: Cultural Learnings of America for Make Benefit Glorious Nation of Kazakhstan</x:v>
      </x:c>
      <x:c r="C41" s="3" t="n">
        <x:v>2006</x:v>
      </x:c>
      <x:c r="D41" s="2" t="str">
        <x:v>Blu-ray</x:v>
      </x:c>
      <x:c r="E41" s="4"/>
      <x:c r="F41" s="3" t="n">
        <x:v>496</x:v>
      </x:c>
      <x:c r="G41" s="5" t="n">
        <x:v>6.786</x:v>
      </x:c>
      <x:c r="H41" s="2" t="str">
        <x:v>Comedy</x:v>
      </x:c>
      <x:c r="I41" s="6" t="str">
        <x:v>/kfkyALfD4G1mlBJI1lOt2QCra4i.jpg</x:v>
      </x:c>
      <x:c r="J41" s="7" t="str">
        <x:v>https://image.tmdb.org/t/p/w342/kfkyALfD4G1mlBJI1lOt2QCra4i.jpg</x:v>
      </x:c>
      <x:c r="K41" s="3" t="e">
        <x:f>IMAGE(J41)</x:f>
      </x:c>
      <x:c r="L41" s="8" t="n">
        <x:v>84</x:v>
      </x:c>
      <x:c r="M41" s="46" t="str">
        <x: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x:v>
      </x:c>
      <x:c r="N41" s="2" t="n">
        <x:v>39022</x:v>
      </x:c>
      <x:c r="O41" s="2" t="str">
        <x:v>Unwatched</x:v>
      </x:c>
      <x:c r="P41" s="9"/>
      <x:c r="Q41" s="6"/>
      <x:c r="R41" s="2" t="str">
        <x:v>https://www.themoviedb.org/movie/496</x:v>
      </x:c>
      <x:c r="S41" s="10" t="str">
        <x:v>Matched</x:v>
      </x:c>
    </x:row>
    <x:row r="42" ht="90" customHeight="1">
      <x:c r="A42" s="2" t="str">
        <x:v>The Bourne Identity (2002)</x:v>
      </x:c>
      <x:c r="B42" s="2" t="str">
        <x:v>The Bourne Identity</x:v>
      </x:c>
      <x:c r="C42" s="3" t="n">
        <x:v>2002</x:v>
      </x:c>
      <x:c r="D42" s="2" t="str">
        <x:v>Blu-ray</x:v>
      </x:c>
      <x:c r="E42" s="4"/>
      <x:c r="F42" s="3" t="n">
        <x:v>2501</x:v>
      </x:c>
      <x:c r="G42" s="5" t="n">
        <x:v>7.5</x:v>
      </x:c>
      <x:c r="H42" s="2" t="str">
        <x:v>Action, Drama, Mystery, Thriller</x:v>
      </x:c>
      <x:c r="I42" s="6" t="str">
        <x:v>/aP8swke3gmowbkfZ6lmNidu0y9p.jpg</x:v>
      </x:c>
      <x:c r="J42" s="7" t="str">
        <x:v>https://image.tmdb.org/t/p/w342/aP8swke3gmowbkfZ6lmNidu0y9p.jpg</x:v>
      </x:c>
      <x:c r="K42" s="3" t="e">
        <x:f>IMAGE(J42)</x:f>
      </x:c>
      <x:c r="L42" s="8" t="n">
        <x:v>119</x:v>
      </x:c>
      <x:c r="M42" s="46" t="str">
        <x: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x:v>
      </x:c>
      <x:c r="N42" s="2" t="n">
        <x:v>37421</x:v>
      </x:c>
      <x:c r="O42" s="2" t="str">
        <x:v>Unwatched</x:v>
      </x:c>
      <x:c r="P42" s="9"/>
      <x:c r="Q42" s="6"/>
      <x:c r="R42" s="2" t="str">
        <x:v>https://www.themoviedb.org/movie/2501</x:v>
      </x:c>
      <x:c r="S42" s="10" t="str">
        <x:v>Matched</x:v>
      </x:c>
    </x:row>
    <x:row r="43" ht="90" customHeight="1">
      <x:c r="A43" s="2" t="str">
        <x:v>Bride of Chucky (1998)</x:v>
      </x:c>
      <x:c r="B43" s="2" t="str">
        <x:v>Bride of Chucky</x:v>
      </x:c>
      <x:c r="C43" s="3" t="n">
        <x:v>1998</x:v>
      </x:c>
      <x:c r="D43" s="2" t="str">
        <x:v>Blu-ray</x:v>
      </x:c>
      <x:c r="E43" s="4"/>
      <x:c r="F43" s="3" t="n">
        <x:v>11932</x:v>
      </x:c>
      <x:c r="G43" s="5" t="n">
        <x:v>6.1</x:v>
      </x:c>
      <x:c r="H43" s="2" t="str">
        <x:v>Horror, Comedy</x:v>
      </x:c>
      <x:c r="I43" s="6" t="str">
        <x:v>/yaIPNOcC7ZRuwH3maNwP9qzIo5G.jpg</x:v>
      </x:c>
      <x:c r="J43" s="7" t="str">
        <x:v>https://image.tmdb.org/t/p/w342/yaIPNOcC7ZRuwH3maNwP9qzIo5G.jpg</x:v>
      </x:c>
      <x:c r="K43" s="3" t="e">
        <x:f>IMAGE(J43)</x:f>
      </x:c>
      <x:c r="L43" s="8" t="n">
        <x:v>89</x:v>
      </x:c>
      <x:c r="M43" s="46" t="str">
        <x:v>For ten years, the tortured soul of serial killer Charles Lee Ray has been imprisoned inside a child's doll. Chucky is reborn when his old flame, Tiffany, rescues his battered doll parts from a police impound. But Chucky wants his new playmate cut down to size, so he transforms his blushing bride into a stunning little terror. Chucky and Tiffany can't wait to start their own homicidal honeymoon. When this demonic duo hits the road and hooks up with a pair of unsuspecting newlyweds, they leave a trail of murder and mayhem behind them. Chucky's back!</x:v>
      </x:c>
      <x:c r="N43" s="2" t="n">
        <x:v>36083</x:v>
      </x:c>
      <x:c r="O43" s="2" t="str">
        <x:v>Unwatched</x:v>
      </x:c>
      <x:c r="P43" s="9"/>
      <x:c r="Q43" s="6"/>
      <x:c r="R43" s="2" t="str">
        <x:v>https://www.themoviedb.org/movie/11932</x:v>
      </x:c>
      <x:c r="S43" s="10" t="str">
        <x:v>Matched</x:v>
      </x:c>
    </x:row>
    <x:row r="44" ht="90" customHeight="1">
      <x:c r="A44" s="2" t="str">
        <x:v>Brüno (2009)</x:v>
      </x:c>
      <x:c r="B44" s="2" t="str">
        <x:v>Brüno</x:v>
      </x:c>
      <x:c r="C44" s="3" t="n">
        <x:v>2009</x:v>
      </x:c>
      <x:c r="D44" s="2" t="str">
        <x:v>Blu-ray</x:v>
      </x:c>
      <x:c r="E44" s="4"/>
      <x:c r="F44" s="3" t="n">
        <x:v>18480</x:v>
      </x:c>
      <x:c r="G44" s="5" t="n">
        <x:v>5.637</x:v>
      </x:c>
      <x:c r="H44" s="2" t="str">
        <x:v>Comedy</x:v>
      </x:c>
      <x:c r="I44" s="6" t="str">
        <x:v>/wcUc7TYtsb72dHVb51sYaGIvQsr.jpg</x:v>
      </x:c>
      <x:c r="J44" s="7" t="str">
        <x:v>https://image.tmdb.org/t/p/w342/wcUc7TYtsb72dHVb51sYaGIvQsr.jpg</x:v>
      </x:c>
      <x:c r="K44" s="3" t="e">
        <x:f>IMAGE(J44)</x:f>
      </x:c>
      <x:c r="L44" s="8" t="n">
        <x:v>83</x:v>
      </x:c>
      <x:c r="M44" s="46" t="str">
        <x:v>Flamboyantly gay Austrian television reporter Bruno stirs up trouble with unsuspecting guests and large crowds through brutally frank interviews and painfully hilarious public displays of homosexuality.</x:v>
      </x:c>
      <x:c r="N44" s="2" t="n">
        <x:v>40002</x:v>
      </x:c>
      <x:c r="O44" s="2" t="str">
        <x:v>Unwatched</x:v>
      </x:c>
      <x:c r="P44" s="9"/>
      <x:c r="Q44" s="6"/>
      <x:c r="R44" s="2" t="str">
        <x:v>https://www.themoviedb.org/movie/18480</x:v>
      </x:c>
      <x:c r="S44" s="10" t="str">
        <x:v>Matched</x:v>
      </x:c>
    </x:row>
    <x:row r="45" ht="90" customHeight="1">
      <x:c r="A45" s="2" t="str">
        <x:v>Bugonia (2025)</x:v>
      </x:c>
      <x:c r="B45" s="2" t="str">
        <x:v>Bugonia</x:v>
      </x:c>
      <x:c r="C45" s="3" t="n">
        <x:v>2025</x:v>
      </x:c>
      <x:c r="D45" s="2" t="str">
        <x:v>Blu-ray</x:v>
      </x:c>
      <x:c r="E45" s="4"/>
      <x:c r="F45" s="3" t="n">
        <x:v>701387</x:v>
      </x:c>
      <x:c r="G45" s="5" t="n">
        <x:v>7.324</x:v>
      </x:c>
      <x:c r="H45" s="2" t="str">
        <x:v>Science Fiction, Thriller, Comedy</x:v>
      </x:c>
      <x:c r="I45" s="6" t="str">
        <x:v>/oxgsAQDAAxA92mFGYCZllgWkH9J.jpg</x:v>
      </x:c>
      <x:c r="J45" s="7" t="str">
        <x:v>https://image.tmdb.org/t/p/w342/oxgsAQDAAxA92mFGYCZllgWkH9J.jpg</x:v>
      </x:c>
      <x:c r="K45" s="3" t="e">
        <x:f>IMAGE(J45)</x:f>
      </x:c>
      <x:c r="L45" s="8" t="n">
        <x:v>119</x:v>
      </x:c>
      <x:c r="M45" s="46" t="str">
        <x:v>Two conspiracy obsessed young men kidnap the high-powered CEO of a major company, convinced that she is an alien intent on destroying planet Earth.</x:v>
      </x:c>
      <x:c r="N45" s="2" t="n">
        <x:v>45953</x:v>
      </x:c>
      <x:c r="O45" s="2" t="str">
        <x:v>Unwatched</x:v>
      </x:c>
      <x:c r="P45" s="9"/>
      <x:c r="Q45" s="6"/>
      <x:c r="R45" s="2" t="str">
        <x:v>https://www.themoviedb.org/movie/701387</x:v>
      </x:c>
      <x:c r="S45" s="10" t="str">
        <x:v>Matched</x:v>
      </x:c>
    </x:row>
    <x:row r="46" ht="90" customHeight="1">
      <x:c r="A46" s="2" t="str">
        <x:v>Cabin Fever (2002)</x:v>
      </x:c>
      <x:c r="B46" s="2" t="str">
        <x:v>Cabin Fever</x:v>
      </x:c>
      <x:c r="C46" s="3" t="n">
        <x:v>2002</x:v>
      </x:c>
      <x:c r="D46" s="2" t="str">
        <x:v>Blu-ray</x:v>
      </x:c>
      <x:c r="E46" s="4"/>
      <x:c r="F46" s="3" t="n">
        <x:v>11547</x:v>
      </x:c>
      <x:c r="G46" s="5" t="n">
        <x:v>5.691</x:v>
      </x:c>
      <x:c r="H46" s="2" t="str">
        <x:v>Horror</x:v>
      </x:c>
      <x:c r="I46" s="6" t="str">
        <x:v>/vaUkSL7PbeeKfdFKOh9TYR9M1ds.jpg</x:v>
      </x:c>
      <x:c r="J46" s="7" t="str">
        <x:v>https://image.tmdb.org/t/p/w342/vaUkSL7PbeeKfdFKOh9TYR9M1ds.jpg</x:v>
      </x:c>
      <x:c r="K46" s="3" t="e">
        <x:f>IMAGE(J46)</x:f>
      </x:c>
      <x:c r="L46" s="8" t="n">
        <x:v>93</x:v>
      </x:c>
      <x:c r="M46" s="46" t="str">
        <x:v>A group of five college graduates rent a cabin in the woods and begin to fall victim to a horrifying flesh-eating virus, which attracts the unwanted attention of the homicidal locals.</x:v>
      </x:c>
      <x:c r="N46" s="2" t="n">
        <x:v>37848</x:v>
      </x:c>
      <x:c r="O46" s="2" t="str">
        <x:v>Unwatched</x:v>
      </x:c>
      <x:c r="P46" s="9"/>
      <x:c r="Q46" s="6"/>
      <x:c r="R46" s="2" t="str">
        <x:v>https://www.themoviedb.org/movie/11547</x:v>
      </x:c>
      <x:c r="S46" s="10" t="str">
        <x:v>Matched</x:v>
      </x:c>
    </x:row>
    <x:row r="47" ht="90" customHeight="1">
      <x:c r="A47" s="2" t="str">
        <x:v>The Cabin in the Woods (2011)</x:v>
      </x:c>
      <x:c r="B47" s="2" t="str">
        <x:v>The Cabin in the Woods</x:v>
      </x:c>
      <x:c r="C47" s="3" t="n">
        <x:v>2011</x:v>
      </x:c>
      <x:c r="D47" s="2" t="str">
        <x:v>Blu-ray</x:v>
      </x:c>
      <x:c r="E47" s="4"/>
      <x:c r="F47" s="3" t="n">
        <x:v>22970</x:v>
      </x:c>
      <x:c r="G47" s="5" t="n">
        <x:v>6.648</x:v>
      </x:c>
      <x:c r="H47" s="2" t="str">
        <x:v>Horror, Mystery, Comedy</x:v>
      </x:c>
      <x:c r="I47" s="6" t="str">
        <x:v>/zZZe5wn0udlhMtdlDjN4NB72R6e.jpg</x:v>
      </x:c>
      <x:c r="J47" s="7" t="str">
        <x:v>https://image.tmdb.org/t/p/w342/zZZe5wn0udlhMtdlDjN4NB72R6e.jpg</x:v>
      </x:c>
      <x:c r="K47" s="3" t="e">
        <x:f>IMAGE(J47)</x:f>
      </x:c>
      <x:c r="L47" s="8" t="n">
        <x:v>95</x:v>
      </x:c>
      <x:c r="M47" s="46" t="str">
        <x:v>Five friends set out for a weekend at a remote cabin in the woods, expecting nothing more than fun and relaxation. As night falls, they discover that something far more unsettling is at work and that nothing about their getaway is what it seems.</x:v>
      </x:c>
      <x:c r="N47" s="2" t="n">
        <x:v>41011</x:v>
      </x:c>
      <x:c r="O47" s="2" t="str">
        <x:v>Unwatched</x:v>
      </x:c>
      <x:c r="P47" s="9"/>
      <x:c r="Q47" s="6"/>
      <x:c r="R47" s="2" t="str">
        <x:v>https://www.themoviedb.org/movie/22970</x:v>
      </x:c>
      <x:c r="S47" s="10" t="str">
        <x:v>Matched</x:v>
      </x:c>
    </x:row>
    <x:row r="48" ht="90" customHeight="1">
      <x:c r="A48" s="2" t="str">
        <x:v>The Campaign (2012)</x:v>
      </x:c>
      <x:c r="B48" s="2" t="str">
        <x:v>The Campaign</x:v>
      </x:c>
      <x:c r="C48" s="3" t="n">
        <x:v>2012</x:v>
      </x:c>
      <x:c r="D48" s="2" t="str">
        <x:v>Blu-ray</x:v>
      </x:c>
      <x:c r="E48" s="4"/>
      <x:c r="F48" s="3" t="n">
        <x:v>77953</x:v>
      </x:c>
      <x:c r="G48" s="5" t="n">
        <x:v>5.839</x:v>
      </x:c>
      <x:c r="H48" s="2" t="str">
        <x:v>Comedy</x:v>
      </x:c>
      <x:c r="I48" s="6" t="str">
        <x:v>/jMWjJ13sFTT07DwjNlqh8VY4sK6.jpg</x:v>
      </x:c>
      <x:c r="J48" s="7" t="str">
        <x:v>https://image.tmdb.org/t/p/w342/jMWjJ13sFTT07DwjNlqh8VY4sK6.jpg</x:v>
      </x:c>
      <x:c r="K48" s="3" t="e">
        <x:f>IMAGE(J48)</x:f>
      </x:c>
      <x:c r="L48" s="8" t="n">
        <x:v>85</x:v>
      </x:c>
      <x:c r="M48" s="46" t="str">
        <x:v>Two rival politicians compete to win an election to represent their small North Carolina congressional district in the United States House of Representatives.</x:v>
      </x:c>
      <x:c r="N48" s="2" t="n">
        <x:v>41130</x:v>
      </x:c>
      <x:c r="O48" s="2" t="str">
        <x:v>Unwatched</x:v>
      </x:c>
      <x:c r="P48" s="9"/>
      <x:c r="Q48" s="6"/>
      <x:c r="R48" s="2" t="str">
        <x:v>https://www.themoviedb.org/movie/77953</x:v>
      </x:c>
      <x:c r="S48" s="10" t="str">
        <x:v>Matched</x:v>
      </x:c>
    </x:row>
    <x:row r="49" ht="90" customHeight="1">
      <x:c r="A49" s="2" t="str">
        <x:v>Cannibal Holocaust (1980)</x:v>
      </x:c>
      <x:c r="B49" s="2" t="str">
        <x:v>Cannibal Holocaust</x:v>
      </x:c>
      <x:c r="C49" s="3" t="n">
        <x:v>1980</x:v>
      </x:c>
      <x:c r="D49" s="2" t="str">
        <x:v>Blu-ray</x:v>
      </x:c>
      <x:c r="E49" s="4"/>
      <x:c r="F49" s="3" t="n">
        <x:v>8689</x:v>
      </x:c>
      <x:c r="G49" s="5" t="n">
        <x:v>6.264</x:v>
      </x:c>
      <x:c r="H49" s="2" t="str">
        <x:v>Horror</x:v>
      </x:c>
      <x:c r="I49" s="6" t="str">
        <x:v>/otxZzMh53TsN7yYFqSZ3rwH1yMd.jpg</x:v>
      </x:c>
      <x:c r="J49" s="7" t="str">
        <x:v>https://image.tmdb.org/t/p/w342/otxZzMh53TsN7yYFqSZ3rwH1yMd.jpg</x:v>
      </x:c>
      <x:c r="K49" s="3" t="e">
        <x:f>IMAGE(J49)</x:f>
      </x:c>
      <x:c r="L49" s="8" t="n">
        <x:v>95</x:v>
      </x:c>
      <x:c r="M49" s="46" t="str">
        <x:v>A New York University professor returns from a rescue mission to the Amazon rainforest with the footage shot by a lost team of documentarians who were making a film about the area's local cannibal tribes.</x:v>
      </x:c>
      <x:c r="N49" s="2" t="n">
        <x:v>29258</x:v>
      </x:c>
      <x:c r="O49" s="2" t="str">
        <x:v>Unwatched</x:v>
      </x:c>
      <x:c r="P49" s="9"/>
      <x:c r="Q49" s="6"/>
      <x:c r="R49" s="2" t="str">
        <x:v>https://www.themoviedb.org/movie/8689</x:v>
      </x:c>
      <x:c r="S49" s="10" t="str">
        <x:v>Matched</x:v>
      </x:c>
    </x:row>
    <x:row r="50" ht="90" customHeight="1">
      <x:c r="A50" s="2" t="str">
        <x:v>Caveat (2020)</x:v>
      </x:c>
      <x:c r="B50" s="2" t="str">
        <x:v>Caveat</x:v>
      </x:c>
      <x:c r="C50" s="3" t="n">
        <x:v>2020</x:v>
      </x:c>
      <x:c r="D50" s="2" t="str">
        <x:v>Blu-ray</x:v>
      </x:c>
      <x:c r="E50" s="4"/>
      <x:c r="F50" s="3" t="n">
        <x:v>744746</x:v>
      </x:c>
      <x:c r="G50" s="5" t="n">
        <x:v>6.355</x:v>
      </x:c>
      <x:c r="H50" s="2" t="str">
        <x:v>Horror, Mystery</x:v>
      </x:c>
      <x:c r="I50" s="6" t="str">
        <x:v>/nbug05AceVU8PMXIONDFxMRtq54.jpg</x:v>
      </x:c>
      <x:c r="J50" s="7" t="str">
        <x:v>https://image.tmdb.org/t/p/w342/nbug05AceVU8PMXIONDFxMRtq54.jpg</x:v>
      </x:c>
      <x:c r="K50" s="3" t="e">
        <x:f>IMAGE(J50)</x:f>
      </x:c>
      <x:c r="L50" s="8" t="n">
        <x:v>88</x:v>
      </x:c>
      <x:c r="M50" s="46" t="str">
        <x:v>A lone drifter suffering from partial memory loss accepts a job to look after a psychologically troubled woman in an abandoned house on an isolated island.</x:v>
      </x:c>
      <x:c r="N50" s="2" t="n">
        <x:v>44489</x:v>
      </x:c>
      <x:c r="O50" s="2" t="str">
        <x:v>Unwatched</x:v>
      </x:c>
      <x:c r="P50" s="9"/>
      <x:c r="Q50" s="6"/>
      <x:c r="R50" s="2" t="str">
        <x:v>https://www.themoviedb.org/movie/744746</x:v>
      </x:c>
      <x:c r="S50" s="10" t="str">
        <x:v>Matched</x:v>
      </x:c>
    </x:row>
    <x:row r="51" ht="90" customHeight="1">
      <x:c r="A51" s="2" t="str">
        <x:v>Child's Play (1988)</x:v>
      </x:c>
      <x:c r="B51" s="2" t="str">
        <x:v>Child's Play</x:v>
      </x:c>
      <x:c r="C51" s="3" t="n">
        <x:v>1988</x:v>
      </x:c>
      <x:c r="D51" s="2" t="str">
        <x:v>Blu-ray</x:v>
      </x:c>
      <x:c r="E51" s="4"/>
      <x:c r="F51" s="3" t="n">
        <x:v>10585</x:v>
      </x:c>
      <x:c r="G51" s="5" t="n">
        <x:v>6.747</x:v>
      </x:c>
      <x:c r="H51" s="2" t="str">
        <x:v>Horror</x:v>
      </x:c>
      <x:c r="I51" s="6" t="str">
        <x:v>/wvpgvcWNkF2HLuTEMIM7K83MvZ.jpg</x:v>
      </x:c>
      <x:c r="J51" s="7" t="str">
        <x:v>https://image.tmdb.org/t/p/w342/wvpgvcWNkF2HLuTEMIM7K83MvZ.jpg</x:v>
      </x:c>
      <x:c r="K51" s="3" t="e">
        <x:f>IMAGE(J51)</x:f>
      </x:c>
      <x:c r="L51" s="8" t="n">
        <x:v>87</x:v>
      </x:c>
      <x:c r="M51" s="46" t="str">
        <x:v>After being shot in a toy store, a serial killer transfers his soul into a Good Guy doll. A mother then gifts it to her 6-year old son Andy, which unleashes terror upon the city.</x:v>
      </x:c>
      <x:c r="N51" s="2" t="n">
        <x:v>32456</x:v>
      </x:c>
      <x:c r="O51" s="2" t="str">
        <x:v>Unwatched</x:v>
      </x:c>
      <x:c r="P51" s="9"/>
      <x:c r="Q51" s="6"/>
      <x:c r="R51" s="2" t="str">
        <x:v>https://www.themoviedb.org/movie/10585</x:v>
      </x:c>
      <x:c r="S51" s="10" t="str">
        <x:v>Matched</x:v>
      </x:c>
    </x:row>
    <x:row r="52" ht="90" customHeight="1">
      <x:c r="A52" s="2" t="str">
        <x:v>Child's Play 2 (1990)</x:v>
      </x:c>
      <x:c r="B52" s="2" t="str">
        <x:v>Child's Play 2</x:v>
      </x:c>
      <x:c r="C52" s="3" t="n">
        <x:v>1990</x:v>
      </x:c>
      <x:c r="D52" s="2" t="str">
        <x:v>Blu-ray</x:v>
      </x:c>
      <x:c r="E52" s="4"/>
      <x:c r="F52" s="3" t="n">
        <x:v>11186</x:v>
      </x:c>
      <x:c r="G52" s="5" t="n">
        <x:v>6.365</x:v>
      </x:c>
      <x:c r="H52" s="2" t="str">
        <x:v>Horror</x:v>
      </x:c>
      <x:c r="I52" s="6" t="str">
        <x:v>/2tPQbPQeHEYAGoXFSW61IWNmoce.jpg</x:v>
      </x:c>
      <x:c r="J52" s="7" t="str">
        <x:v>https://image.tmdb.org/t/p/w342/2tPQbPQeHEYAGoXFSW61IWNmoce.jpg</x:v>
      </x:c>
      <x:c r="K52" s="3" t="e">
        <x:f>IMAGE(J52)</x:f>
      </x:c>
      <x:c r="L52" s="8" t="n">
        <x:v>84</x:v>
      </x:c>
      <x:c r="M52" s="46" t="str">
        <x:v>Chucky is reconstructed by a toy factory to dispel the negative publicity surrounding the doll, and tracks young Andy Barclay to a foster home where the chase begins again.</x:v>
      </x:c>
      <x:c r="N52" s="2" t="n">
        <x:v>33186</x:v>
      </x:c>
      <x:c r="O52" s="2" t="str">
        <x:v>Unwatched</x:v>
      </x:c>
      <x:c r="P52" s="9"/>
      <x:c r="Q52" s="6"/>
      <x:c r="R52" s="2" t="str">
        <x:v>https://www.themoviedb.org/movie/11186</x:v>
      </x:c>
      <x:c r="S52" s="10" t="str">
        <x:v>Matched</x:v>
      </x:c>
    </x:row>
    <x:row r="53" ht="90" customHeight="1">
      <x:c r="A53" s="2" t="str">
        <x:v>Child's Play 3 (1991)</x:v>
      </x:c>
      <x:c r="B53" s="2" t="str">
        <x:v>Child's Play 3</x:v>
      </x:c>
      <x:c r="C53" s="3" t="n">
        <x:v>1991</x:v>
      </x:c>
      <x:c r="D53" s="2" t="str">
        <x:v>Blu-ray</x:v>
      </x:c>
      <x:c r="E53" s="4"/>
      <x:c r="F53" s="3" t="n">
        <x:v>11187</x:v>
      </x:c>
      <x:c r="G53" s="5" t="n">
        <x:v>5.907</x:v>
      </x:c>
      <x:c r="H53" s="2" t="str">
        <x:v>Horror, Thriller</x:v>
      </x:c>
      <x:c r="I53" s="6" t="str">
        <x:v>/6toMk9OCuDYEEf733Bzlq3yiw3z.jpg</x:v>
      </x:c>
      <x:c r="J53" s="7" t="str">
        <x:v>https://image.tmdb.org/t/p/w342/6toMk9OCuDYEEf733Bzlq3yiw3z.jpg</x:v>
      </x:c>
      <x:c r="K53" s="3" t="e">
        <x:f>IMAGE(J53)</x:f>
      </x:c>
      <x:c r="L53" s="8" t="n">
        <x:v>90</x:v>
      </x:c>
      <x:c r="M53" s="46" t="str">
        <x:v>Eight years after seemingly destroying the killer doll, teen Andy Barclay is placed in a military school, and the spirit of Chucky returns to renew his quest and seek vengeance after being recreated from a mass of melted plastic.</x:v>
      </x:c>
      <x:c r="N53" s="2" t="n">
        <x:v>33480</x:v>
      </x:c>
      <x:c r="O53" s="2" t="str">
        <x:v>Unwatched</x:v>
      </x:c>
      <x:c r="P53" s="9"/>
      <x:c r="Q53" s="6"/>
      <x:c r="R53" s="2" t="str">
        <x:v>https://www.themoviedb.org/movie/11187</x:v>
      </x:c>
      <x:c r="S53" s="10" t="str">
        <x:v>Matched</x:v>
      </x:c>
    </x:row>
    <x:row r="54" ht="90" customHeight="1">
      <x:c r="A54" s="2" t="str">
        <x:v>A Clockwork Orange (1971)</x:v>
      </x:c>
      <x:c r="B54" s="2" t="str">
        <x:v>A Clockwork Orange</x:v>
      </x:c>
      <x:c r="C54" s="3" t="n">
        <x:v>1971</x:v>
      </x:c>
      <x:c r="D54" s="2" t="str">
        <x:v>Blu-ray</x:v>
      </x:c>
      <x:c r="E54" s="4"/>
      <x:c r="F54" s="3" t="n">
        <x:v>185</x:v>
      </x:c>
      <x:c r="G54" s="5" t="n">
        <x:v>8.2</x:v>
      </x:c>
      <x:c r="H54" s="2" t="str">
        <x:v>Science Fiction, Crime</x:v>
      </x:c>
      <x:c r="I54" s="6" t="str">
        <x:v>/4sHeTAp65WrSSuc05nRBKddhBxO.jpg</x:v>
      </x:c>
      <x:c r="J54" s="7" t="str">
        <x:v>https://image.tmdb.org/t/p/w342/4sHeTAp65WrSSuc05nRBKddhBxO.jpg</x:v>
      </x:c>
      <x:c r="K54" s="3" t="e">
        <x:f>IMAGE(J54)</x:f>
      </x:c>
      <x:c r="L54" s="8" t="n">
        <x:v>137</x:v>
      </x:c>
      <x:c r="M54" s="46" t="str">
        <x: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x:v>
      </x:c>
      <x:c r="N54" s="2" t="n">
        <x:v>26234</x:v>
      </x:c>
      <x:c r="O54" s="2" t="str">
        <x:v>Unwatched</x:v>
      </x:c>
      <x:c r="P54" s="9"/>
      <x:c r="Q54" s="6"/>
      <x:c r="R54" s="2" t="str">
        <x:v>https://www.themoviedb.org/movie/185</x:v>
      </x:c>
      <x:c r="S54" s="10" t="str">
        <x:v>Matched</x:v>
      </x:c>
    </x:row>
    <x:row r="55" ht="90" customHeight="1">
      <x:c r="A55" s="2" t="str">
        <x:v>Close Encounters of the Third Kind (1977)</x:v>
      </x:c>
      <x:c r="B55" s="2" t="str">
        <x:v>Close Encounters of the Third Kind</x:v>
      </x:c>
      <x:c r="C55" s="3" t="n">
        <x:v>1977</x:v>
      </x:c>
      <x:c r="D55" s="2" t="str">
        <x:v>Blu-ray</x:v>
      </x:c>
      <x:c r="E55" s="4"/>
      <x:c r="F55" s="3" t="n">
        <x:v>840</x:v>
      </x:c>
      <x:c r="G55" s="5" t="n">
        <x:v>7.35</x:v>
      </x:c>
      <x:c r="H55" s="2" t="str">
        <x:v>Science Fiction, Drama</x:v>
      </x:c>
      <x:c r="I55" s="6" t="str">
        <x:v>/yaPx3cK9zGFX3SbcKwxWM1QIbUh.jpg</x:v>
      </x:c>
      <x:c r="J55" s="7" t="str">
        <x:v>https://image.tmdb.org/t/p/w342/yaPx3cK9zGFX3SbcKwxWM1QIbUh.jpg</x:v>
      </x:c>
      <x:c r="K55" s="3" t="e">
        <x:f>IMAGE(J55)</x:f>
      </x:c>
      <x:c r="L55" s="8" t="n">
        <x:v>137</x:v>
      </x:c>
      <x:c r="M55" s="46" t="str">
        <x:v>After an encounter with UFOs, an electricity linesman feels undeniably drawn to an isolated area in the wilderness where something spectacular is about to happen.</x:v>
      </x:c>
      <x:c r="N55" s="2" t="n">
        <x:v>28473</x:v>
      </x:c>
      <x:c r="O55" s="2" t="str">
        <x:v>Unwatched</x:v>
      </x:c>
      <x:c r="P55" s="9"/>
      <x:c r="Q55" s="6"/>
      <x:c r="R55" s="2" t="str">
        <x:v>https://www.themoviedb.org/movie/840</x:v>
      </x:c>
      <x:c r="S55" s="10" t="str">
        <x:v>Matched</x:v>
      </x:c>
    </x:row>
    <x:row r="56" ht="90" customHeight="1">
      <x:c r="A56" s="2" t="str">
        <x:v>The Coffee Table (2022)</x:v>
      </x:c>
      <x:c r="B56" s="2" t="str">
        <x:v>The Coffee Table</x:v>
      </x:c>
      <x:c r="C56" s="3" t="n">
        <x:v>2022</x:v>
      </x:c>
      <x:c r="D56" s="2" t="str">
        <x:v>Blu-ray</x:v>
      </x:c>
      <x:c r="E56" s="4"/>
      <x:c r="F56" s="3" t="n">
        <x:v>1056380</x:v>
      </x:c>
      <x:c r="G56" s="5" t="n">
        <x:v>6.868</x:v>
      </x:c>
      <x:c r="H56" s="2" t="str">
        <x:v>Horror, Thriller, Drama, Comedy</x:v>
      </x:c>
      <x:c r="I56" s="6" t="str">
        <x:v>/r8S7cc676EfgfUDVQKPrqRlbRFz.jpg</x:v>
      </x:c>
      <x:c r="J56" s="7" t="str">
        <x:v>https://image.tmdb.org/t/p/w342/r8S7cc676EfgfUDVQKPrqRlbRFz.jpg</x:v>
      </x:c>
      <x:c r="K56" s="3" t="e">
        <x:f>IMAGE(J56)</x:f>
      </x:c>
      <x:c r="L56" s="8" t="n">
        <x:v>91</x:v>
      </x:c>
      <x:c r="M56" s="46" t="str">
        <x:v>Jesus and María are a couple going through a difficult time in their relationship. Nevertheless, they have just become parents. To shape their new life, they decide to buy a new coffee table. A decision that will change their existence.</x:v>
      </x:c>
      <x:c r="N56" s="2" t="n">
        <x:v>45260</x:v>
      </x:c>
      <x:c r="O56" s="2" t="str">
        <x:v>Unwatched</x:v>
      </x:c>
      <x:c r="P56" s="9"/>
      <x:c r="Q56" s="6"/>
      <x:c r="R56" s="2" t="str">
        <x:v>https://www.themoviedb.org/movie/1056380</x:v>
      </x:c>
      <x:c r="S56" s="10" t="str">
        <x:v>Matched</x:v>
      </x:c>
    </x:row>
    <x:row r="57" ht="90" customHeight="1">
      <x:c r="A57" s="2" t="str">
        <x:v>Coherence (2013)</x:v>
      </x:c>
      <x:c r="B57" s="2" t="str">
        <x:v>Coherence</x:v>
      </x:c>
      <x:c r="C57" s="3" t="n">
        <x:v>2013</x:v>
      </x:c>
      <x:c r="D57" s="2" t="str">
        <x:v>Blu-ray</x:v>
      </x:c>
      <x:c r="E57" s="4"/>
      <x:c r="F57" s="3" t="n">
        <x:v>220289</x:v>
      </x:c>
      <x:c r="G57" s="5" t="n">
        <x:v>7.214</x:v>
      </x:c>
      <x:c r="H57" s="2" t="str">
        <x:v>Thriller, Science Fiction</x:v>
      </x:c>
      <x:c r="I57" s="6" t="str">
        <x:v>/ezUtb9m5DeLwL2gxi4gktzNCvQv.jpg</x:v>
      </x:c>
      <x:c r="J57" s="7" t="str">
        <x:v>https://image.tmdb.org/t/p/w342/ezUtb9m5DeLwL2gxi4gktzNCvQv.jpg</x:v>
      </x:c>
      <x:c r="K57" s="3" t="e">
        <x:f>IMAGE(J57)</x:f>
      </x:c>
      <x:c r="L57" s="8" t="n">
        <x:v>89</x:v>
      </x:c>
      <x:c r="M57" s="46" t="str">
        <x:v>Four couples gather for dinner the night a mysterious and powerful comet passes overhead.</x:v>
      </x:c>
      <x:c r="N57" s="2" t="n">
        <x:v>41735</x:v>
      </x:c>
      <x:c r="O57" s="2" t="str">
        <x:v>Unwatched</x:v>
      </x:c>
      <x:c r="P57" s="9"/>
      <x:c r="Q57" s="6"/>
      <x:c r="R57" s="2" t="str">
        <x:v>https://www.themoviedb.org/movie/220289</x:v>
      </x:c>
      <x:c r="S57" s="10" t="str">
        <x:v>Matched</x:v>
      </x:c>
    </x:row>
    <x:row r="58" ht="90" customHeight="1">
      <x:c r="A58" s="2" t="str">
        <x:v>The Collection (2012)</x:v>
      </x:c>
      <x:c r="B58" s="2" t="str">
        <x:v>The Collection</x:v>
      </x:c>
      <x:c r="C58" s="3" t="n">
        <x:v>2012</x:v>
      </x:c>
      <x:c r="D58" s="2" t="str">
        <x:v>Blu-ray</x:v>
      </x:c>
      <x:c r="E58" s="4"/>
      <x:c r="F58" s="3" t="n">
        <x:v>134597</x:v>
      </x:c>
      <x:c r="G58" s="5" t="n">
        <x:v>6.4</x:v>
      </x:c>
      <x:c r="H58" s="2" t="str">
        <x:v>Horror, Thriller</x:v>
      </x:c>
      <x:c r="I58" s="6" t="str">
        <x:v>/qbhJiXi48fRQevHf56i2JmYqyJ7.jpg</x:v>
      </x:c>
      <x:c r="J58" s="7" t="str">
        <x:v>https://image.tmdb.org/t/p/w342/qbhJiXi48fRQevHf56i2JmYqyJ7.jpg</x:v>
      </x:c>
      <x:c r="K58" s="3" t="e">
        <x:f>IMAGE(J58)</x:f>
      </x:c>
      <x:c r="L58" s="8" t="n">
        <x:v>82</x:v>
      </x:c>
      <x:c r="M58" s="46" t="str">
        <x:v>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x:v>
      </x:c>
      <x:c r="N58" s="2" t="n">
        <x:v>41243</x:v>
      </x:c>
      <x:c r="O58" s="2" t="str">
        <x:v>Unwatched</x:v>
      </x:c>
      <x:c r="P58" s="9"/>
      <x:c r="Q58" s="6"/>
      <x:c r="R58" s="2" t="str">
        <x:v>https://www.themoviedb.org/movie/134597</x:v>
      </x:c>
      <x:c r="S58" s="10" t="str">
        <x:v>Matched</x:v>
      </x:c>
    </x:row>
    <x:row r="59" ht="90" customHeight="1">
      <x:c r="A59" s="2" t="str">
        <x:v>The Collector (2009)</x:v>
      </x:c>
      <x:c r="B59" s="2" t="str">
        <x:v>The Collector</x:v>
      </x:c>
      <x:c r="C59" s="3" t="n">
        <x:v>2009</x:v>
      </x:c>
      <x:c r="D59" s="2" t="str">
        <x:v>Blu-ray</x:v>
      </x:c>
      <x:c r="E59" s="4"/>
      <x:c r="F59" s="3" t="n">
        <x:v>21407</x:v>
      </x:c>
      <x:c r="G59" s="5" t="n">
        <x:v>6.617</x:v>
      </x:c>
      <x:c r="H59" s="2" t="str">
        <x:v>Horror, Thriller</x:v>
      </x:c>
      <x:c r="I59" s="6" t="str">
        <x:v>/e33HSokiAxhj8ptpAr2xAU4jnd8.jpg</x:v>
      </x:c>
      <x:c r="J59" s="7" t="str">
        <x:v>https://image.tmdb.org/t/p/w342/e33HSokiAxhj8ptpAr2xAU4jnd8.jpg</x:v>
      </x:c>
      <x:c r="K59" s="3" t="e">
        <x:f>IMAGE(J59)</x:f>
      </x:c>
      <x:c r="L59" s="8" t="n">
        <x:v>90</x:v>
      </x:c>
      <x:c r="M59" s="46" t="str">
        <x:v>Desperate to repay his debt to his ex-wife, an ex-con plots a heist at his new employer's country home, unaware that a second criminal has also targeted the property, and rigged it with a series of deadly traps.</x:v>
      </x:c>
      <x:c r="N59" s="2" t="n">
        <x:v>40003</x:v>
      </x:c>
      <x:c r="O59" s="2" t="str">
        <x:v>Unwatched</x:v>
      </x:c>
      <x:c r="P59" s="9"/>
      <x:c r="Q59" s="6"/>
      <x:c r="R59" s="2" t="str">
        <x:v>https://www.themoviedb.org/movie/21407</x:v>
      </x:c>
      <x:c r="S59" s="10" t="str">
        <x:v>Matched</x:v>
      </x:c>
    </x:row>
    <x:row r="60" ht="90" customHeight="1">
      <x:c r="A60" s="2" t="str">
        <x:v>Companion (2025)</x:v>
      </x:c>
      <x:c r="B60" s="2" t="str">
        <x:v>Companion</x:v>
      </x:c>
      <x:c r="C60" s="3" t="n">
        <x:v>2025</x:v>
      </x:c>
      <x:c r="D60" s="2" t="str">
        <x:v>Blu-ray</x:v>
      </x:c>
      <x:c r="E60" s="4"/>
      <x:c r="F60" s="3" t="n">
        <x:v>1084199</x:v>
      </x:c>
      <x:c r="G60" s="5" t="n">
        <x:v>7</x:v>
      </x:c>
      <x:c r="H60" s="2" t="str">
        <x:v>Horror, Science Fiction, Thriller</x:v>
      </x:c>
      <x:c r="I60" s="6" t="str">
        <x:v>/oCoTgC3UyWGfyQ9thE10ulWR7bn.jpg</x:v>
      </x:c>
      <x:c r="J60" s="7" t="str">
        <x:v>https://image.tmdb.org/t/p/w342/oCoTgC3UyWGfyQ9thE10ulWR7bn.jpg</x:v>
      </x:c>
      <x:c r="K60" s="3" t="e">
        <x:f>IMAGE(J60)</x:f>
      </x:c>
      <x:c r="L60" s="8" t="n">
        <x:v>97</x:v>
      </x:c>
      <x:c r="M60" s="46" t="str">
        <x:v>During a weekend getaway at a secluded lakeside estate, a group of friends finds themselves entangled in a web of secrets, deception, and advanced technology. As tensions rise and loyalties are tested, they uncover unsettling truths about themselves and the world around them.</x:v>
      </x:c>
      <x:c r="N60" s="2" t="n">
        <x:v>45679</x:v>
      </x:c>
      <x:c r="O60" s="2" t="str">
        <x:v>Unwatched</x:v>
      </x:c>
      <x:c r="P60" s="9"/>
      <x:c r="Q60" s="6"/>
      <x:c r="R60" s="2" t="str">
        <x:v>https://www.themoviedb.org/movie/1084199</x:v>
      </x:c>
      <x:c r="S60" s="10" t="str">
        <x:v>Matched</x:v>
      </x:c>
    </x:row>
    <x:row r="61" ht="90" customHeight="1">
      <x:c r="A61" s="2" t="str">
        <x:v>Confession of Murder (2012)</x:v>
      </x:c>
      <x:c r="B61" s="2" t="str">
        <x:v>Confession of Murder</x:v>
      </x:c>
      <x:c r="C61" s="3" t="n">
        <x:v>2012</x:v>
      </x:c>
      <x:c r="D61" s="2" t="str">
        <x:v>Blu-ray</x:v>
      </x:c>
      <x:c r="E61" s="4"/>
      <x:c r="F61" s="3" t="n">
        <x:v>140212</x:v>
      </x:c>
      <x:c r="G61" s="5" t="n">
        <x:v>7.138</x:v>
      </x:c>
      <x:c r="H61" s="2" t="str">
        <x:v>Action, Thriller</x:v>
      </x:c>
      <x:c r="I61" s="6" t="str">
        <x:v>/aA2WdIhq7e3grXFg6FZemRvbAIM.jpg</x:v>
      </x:c>
      <x:c r="J61" s="7" t="str">
        <x:v>https://image.tmdb.org/t/p/w342/aA2WdIhq7e3grXFg6FZemRvbAIM.jpg</x:v>
      </x:c>
      <x:c r="K61" s="3" t="e">
        <x:f>IMAGE(J61)</x:f>
      </x:c>
      <x:c r="L61" s="8" t="n">
        <x:v>119</x:v>
      </x:c>
      <x:c r="M61" s="46" t="str">
        <x:v>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x:v>
      </x:c>
      <x:c r="N61" s="2" t="n">
        <x:v>41221</x:v>
      </x:c>
      <x:c r="O61" s="2" t="str">
        <x:v>Unwatched</x:v>
      </x:c>
      <x:c r="P61" s="9"/>
      <x:c r="Q61" s="6"/>
      <x:c r="R61" s="2" t="str">
        <x:v>https://www.themoviedb.org/movie/140212</x:v>
      </x:c>
      <x:c r="S61" s="10" t="str">
        <x:v>Matched</x:v>
      </x:c>
    </x:row>
    <x:row r="62" ht="90" customHeight="1">
      <x:c r="A62" s="2" t="str">
        <x:v>The Conjuring (2013)</x:v>
      </x:c>
      <x:c r="B62" s="2" t="str">
        <x:v>The Conjuring</x:v>
      </x:c>
      <x:c r="C62" s="3" t="n">
        <x:v>2013</x:v>
      </x:c>
      <x:c r="D62" s="2" t="str">
        <x:v>Blu-ray, Blu-ray</x:v>
      </x:c>
      <x:c r="E62" s="4"/>
      <x:c r="F62" s="3" t="n">
        <x:v>138843</x:v>
      </x:c>
      <x:c r="G62" s="5" t="n">
        <x:v>7.539</x:v>
      </x:c>
      <x:c r="H62" s="2" t="str">
        <x:v>Horror, Thriller</x:v>
      </x:c>
      <x:c r="I62" s="6" t="str">
        <x:v>/wVYREutTvI2tmxr6ujrHT704wGF.jpg</x:v>
      </x:c>
      <x:c r="J62" s="7" t="str">
        <x:v>https://image.tmdb.org/t/p/w342/wVYREutTvI2tmxr6ujrHT704wGF.jpg</x:v>
      </x:c>
      <x:c r="K62" s="3" t="e">
        <x:f>IMAGE(J62)</x:f>
      </x:c>
      <x:c r="L62" s="8" t="n">
        <x:v>112</x:v>
      </x:c>
      <x:c r="M62" s="46" t="str">
        <x:v>Paranormal investigators Ed and Lorraine Warren work to help a family terrorized by a dark presence in their farmhouse. Forced to confront a powerful entity, the Warrens find themselves caught in the most terrifying case of their lives.</x:v>
      </x:c>
      <x:c r="N62" s="2" t="n">
        <x:v>41473</x:v>
      </x:c>
      <x:c r="O62" s="2" t="str">
        <x:v>Unwatched</x:v>
      </x:c>
      <x:c r="P62" s="9"/>
      <x:c r="Q62" s="6"/>
      <x:c r="R62" s="2" t="str">
        <x:v>https://www.themoviedb.org/movie/138843</x:v>
      </x:c>
      <x:c r="S62" s="10" t="str">
        <x:v>Matched</x:v>
      </x:c>
    </x:row>
    <x:row r="63" ht="90" customHeight="1">
      <x:c r="A63" s="2" t="str">
        <x:v>The Conjuring 2 (2016)</x:v>
      </x:c>
      <x:c r="B63" s="2" t="str">
        <x:v>The Conjuring 2</x:v>
      </x:c>
      <x:c r="C63" s="3" t="n">
        <x:v>2016</x:v>
      </x:c>
      <x:c r="D63" s="2" t="str">
        <x:v>Blu-ray</x:v>
      </x:c>
      <x:c r="E63" s="4"/>
      <x:c r="F63" s="3" t="n">
        <x:v>259693</x:v>
      </x:c>
      <x:c r="G63" s="5" t="n">
        <x:v>7.293</x:v>
      </x:c>
      <x:c r="H63" s="2" t="str">
        <x:v>Horror</x:v>
      </x:c>
      <x:c r="I63" s="6" t="str">
        <x:v>/zEqyD0SBt6HL7W9JQoWwtd5Do1T.jpg</x:v>
      </x:c>
      <x:c r="J63" s="7" t="str">
        <x:v>https://image.tmdb.org/t/p/w342/zEqyD0SBt6HL7W9JQoWwtd5Do1T.jpg</x:v>
      </x:c>
      <x:c r="K63" s="3" t="e">
        <x:f>IMAGE(J63)</x:f>
      </x:c>
      <x:c r="L63" s="8" t="n">
        <x:v>134</x:v>
      </x:c>
      <x:c r="M63" s="46" t="str">
        <x:v>Lorraine and Ed Warren travel to north London to help a single mother raising four children alone in a house plagued by malicious spirits.</x:v>
      </x:c>
      <x:c r="N63" s="2" t="n">
        <x:v>42529</x:v>
      </x:c>
      <x:c r="O63" s="2" t="str">
        <x:v>Unwatched</x:v>
      </x:c>
      <x:c r="P63" s="9"/>
      <x:c r="Q63" s="6"/>
      <x:c r="R63" s="2" t="str">
        <x:v>https://www.themoviedb.org/movie/259693</x:v>
      </x:c>
      <x:c r="S63" s="10" t="str">
        <x:v>Matched</x:v>
      </x:c>
    </x:row>
    <x:row r="64" ht="90" customHeight="1">
      <x:c r="A64" s="2" t="str">
        <x:v>The Conjuring: Last Rites (2025)</x:v>
      </x:c>
      <x:c r="B64" s="2" t="str">
        <x:v>The Conjuring: Last Rites</x:v>
      </x:c>
      <x:c r="C64" s="3" t="n">
        <x:v>2025</x:v>
      </x:c>
      <x:c r="D64" s="2" t="str">
        <x:v>Blu-ray</x:v>
      </x:c>
      <x:c r="E64" s="4"/>
      <x:c r="F64" s="3" t="n">
        <x:v>1038392</x:v>
      </x:c>
      <x:c r="G64" s="5" t="n">
        <x:v>6.9</x:v>
      </x:c>
      <x:c r="H64" s="2" t="str">
        <x:v>Horror</x:v>
      </x:c>
      <x:c r="I64" s="6" t="str">
        <x:v>/byWgphT74ClOVa8EOGzYDkl8DVL.jpg</x:v>
      </x:c>
      <x:c r="J64" s="7" t="str">
        <x:v>https://image.tmdb.org/t/p/w342/byWgphT74ClOVa8EOGzYDkl8DVL.jpg</x:v>
      </x:c>
      <x:c r="K64" s="3" t="e">
        <x:f>IMAGE(J64)</x:f>
      </x:c>
      <x:c r="L64" s="8" t="n">
        <x:v>136</x:v>
      </x:c>
      <x:c r="M64" s="46" t="str">
        <x:v>Paranormal investigators Ed and Lorraine Warren take on one last terrifying case involving mysterious entities they must confront.</x:v>
      </x:c>
      <x:c r="N64" s="2" t="n">
        <x:v>45903</x:v>
      </x:c>
      <x:c r="O64" s="2" t="str">
        <x:v>Unwatched</x:v>
      </x:c>
      <x:c r="P64" s="9"/>
      <x:c r="Q64" s="6"/>
      <x:c r="R64" s="2" t="str">
        <x:v>https://www.themoviedb.org/movie/1038392</x:v>
      </x:c>
      <x:c r="S64" s="10" t="str">
        <x:v>Matched</x:v>
      </x:c>
    </x:row>
    <x:row r="65" ht="90" customHeight="1">
      <x:c r="A65" s="2" t="str">
        <x:v>The Conjuring: The Devil Made Me Do It (2021)</x:v>
      </x:c>
      <x:c r="B65" s="2" t="str">
        <x:v>The Conjuring: The Devil Made Me Do It</x:v>
      </x:c>
      <x:c r="C65" s="3" t="n">
        <x:v>2021</x:v>
      </x:c>
      <x:c r="D65" s="2" t="str">
        <x:v>Blu-ray</x:v>
      </x:c>
      <x:c r="E65" s="4"/>
      <x:c r="F65" s="3" t="n">
        <x:v>423108</x:v>
      </x:c>
      <x:c r="G65" s="5" t="n">
        <x:v>7.4</x:v>
      </x:c>
      <x:c r="H65" s="2" t="str">
        <x:v>Horror, Mystery, Thriller</x:v>
      </x:c>
      <x:c r="I65" s="6" t="str">
        <x:v>/xbSuFiJbbBWCkyCCKIMfuDCA4yV.jpg</x:v>
      </x:c>
      <x:c r="J65" s="7" t="str">
        <x:v>https://image.tmdb.org/t/p/w342/xbSuFiJbbBWCkyCCKIMfuDCA4yV.jpg</x:v>
      </x:c>
      <x:c r="K65" s="3" t="e">
        <x:f>IMAGE(J65)</x:f>
      </x:c>
      <x:c r="L65" s="8" t="n">
        <x:v>111</x:v>
      </x:c>
      <x:c r="M65" s="46" t="str">
        <x: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x:v>
      </x:c>
      <x:c r="N65" s="2" t="n">
        <x:v>44341</x:v>
      </x:c>
      <x:c r="O65" s="2" t="str">
        <x:v>Unwatched</x:v>
      </x:c>
      <x:c r="P65" s="9"/>
      <x:c r="Q65" s="6"/>
      <x:c r="R65" s="2" t="str">
        <x:v>https://www.themoviedb.org/movie/423108</x:v>
      </x:c>
      <x:c r="S65" s="10" t="str">
        <x:v>Matched</x:v>
      </x:c>
    </x:row>
    <x:row r="66" ht="90" customHeight="1">
      <x:c r="A66" s="2" t="str">
        <x:v>Cop Out (2010)</x:v>
      </x:c>
      <x:c r="B66" s="2" t="str">
        <x:v>Cop Out</x:v>
      </x:c>
      <x:c r="C66" s="3" t="n">
        <x:v>2010</x:v>
      </x:c>
      <x:c r="D66" s="2" t="str">
        <x:v>Blu-ray</x:v>
      </x:c>
      <x:c r="E66" s="4"/>
      <x:c r="F66" s="3" t="n">
        <x:v>23742</x:v>
      </x:c>
      <x:c r="G66" s="5" t="n">
        <x:v>5.55</x:v>
      </x:c>
      <x:c r="H66" s="2" t="str">
        <x:v>Action, Comedy, Crime</x:v>
      </x:c>
      <x:c r="I66" s="6" t="str">
        <x:v>/qA31i7FPVDHezuoevx3497CvZd4.jpg</x:v>
      </x:c>
      <x:c r="J66" s="7" t="str">
        <x:v>https://image.tmdb.org/t/p/w342/qA31i7FPVDHezuoevx3497CvZd4.jpg</x:v>
      </x:c>
      <x:c r="K66" s="3" t="e">
        <x:f>IMAGE(J66)</x:f>
      </x:c>
      <x:c r="L66" s="8" t="n">
        <x:v>107</x:v>
      </x:c>
      <x:c r="M66" s="46" t="str">
        <x:v>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x:v>
      </x:c>
      <x:c r="N66" s="2" t="n">
        <x:v>40235</x:v>
      </x:c>
      <x:c r="O66" s="2" t="str">
        <x:v>Unwatched</x:v>
      </x:c>
      <x:c r="P66" s="9"/>
      <x:c r="Q66" s="6"/>
      <x:c r="R66" s="2" t="str">
        <x:v>https://www.themoviedb.org/movie/23742</x:v>
      </x:c>
      <x:c r="S66" s="10" t="str">
        <x:v>Matched</x:v>
      </x:c>
    </x:row>
    <x:row r="67" ht="90" customHeight="1">
      <x:c r="A67" s="2" t="str">
        <x:v>Coraline (2009)</x:v>
      </x:c>
      <x:c r="B67" s="2" t="str">
        <x:v>Coraline</x:v>
      </x:c>
      <x:c r="C67" s="3" t="n">
        <x:v>2009</x:v>
      </x:c>
      <x:c r="D67" s="2" t="str">
        <x:v>Blu-ray</x:v>
      </x:c>
      <x:c r="E67" s="4"/>
      <x:c r="F67" s="3" t="n">
        <x:v>14836</x:v>
      </x:c>
      <x:c r="G67" s="5" t="n">
        <x:v>7.906</x:v>
      </x:c>
      <x:c r="H67" s="2" t="str">
        <x:v>Animation, Family, Fantasy</x:v>
      </x:c>
      <x:c r="I67" s="6" t="str">
        <x:v>/4jeFXQYytChdZYE9JYO7Un87IlW.jpg</x:v>
      </x:c>
      <x:c r="J67" s="7" t="str">
        <x:v>https://image.tmdb.org/t/p/w342/4jeFXQYytChdZYE9JYO7Un87IlW.jpg</x:v>
      </x:c>
      <x:c r="K67" s="3" t="e">
        <x:f>IMAGE(J67)</x:f>
      </x:c>
      <x:c r="L67" s="8" t="n">
        <x:v>100</x:v>
      </x:c>
      <x:c r="M67" s="46" t="str">
        <x:v>Wandering her rambling old house in her boring new town, 11-year-old Coraline discovers a hidden door to a strangely idealized version of her life. In order to stay in the fantasy, she must make a frighteningly real sacrifice.</x:v>
      </x:c>
      <x:c r="N67" s="2" t="n">
        <x:v>39849</x:v>
      </x:c>
      <x:c r="O67" s="2" t="str">
        <x:v>Unwatched</x:v>
      </x:c>
      <x:c r="P67" s="9"/>
      <x:c r="Q67" s="6"/>
      <x:c r="R67" s="2" t="str">
        <x:v>https://www.themoviedb.org/movie/14836</x:v>
      </x:c>
      <x:c r="S67" s="10" t="str">
        <x:v>Matched</x:v>
      </x:c>
    </x:row>
    <x:row r="68" ht="90" customHeight="1">
      <x:c r="A68" s="2" t="str">
        <x:v>The Crazies (2010)</x:v>
      </x:c>
      <x:c r="B68" s="2" t="str">
        <x:v>The Crazies</x:v>
      </x:c>
      <x:c r="C68" s="3" t="n">
        <x:v>2010</x:v>
      </x:c>
      <x:c r="D68" s="2" t="str">
        <x:v>Blu-ray</x:v>
      </x:c>
      <x:c r="E68" s="4"/>
      <x:c r="F68" s="3" t="n">
        <x:v>29427</x:v>
      </x:c>
      <x:c r="G68" s="5" t="n">
        <x:v>6.308</x:v>
      </x:c>
      <x:c r="H68" s="2" t="str">
        <x:v>Mystery, Horror, Action</x:v>
      </x:c>
      <x:c r="I68" s="6" t="str">
        <x:v>/ggtG9DZELyTtM2Y0DRJDOJa5iP8.jpg</x:v>
      </x:c>
      <x:c r="J68" s="7" t="str">
        <x:v>https://image.tmdb.org/t/p/w342/ggtG9DZELyTtM2Y0DRJDOJa5iP8.jpg</x:v>
      </x:c>
      <x:c r="K68" s="3" t="e">
        <x:f>IMAGE(J68)</x:f>
      </x:c>
      <x:c r="L68" s="8" t="n">
        <x:v>101</x:v>
      </x:c>
      <x:c r="M68" s="46" t="str">
        <x:v>Four friends find themselves trapped in their small hometown after they discover their friends and neighbors going quickly and horrifically insane.</x:v>
      </x:c>
      <x:c r="N68" s="2" t="n">
        <x:v>40235</x:v>
      </x:c>
      <x:c r="O68" s="2" t="str">
        <x:v>Unwatched</x:v>
      </x:c>
      <x:c r="P68" s="9"/>
      <x:c r="Q68" s="6"/>
      <x:c r="R68" s="2" t="str">
        <x:v>https://www.themoviedb.org/movie/29427</x:v>
      </x:c>
      <x:c r="S68" s="10" t="str">
        <x:v>Matched</x:v>
      </x:c>
    </x:row>
    <x:row r="69" ht="90" customHeight="1">
      <x:c r="A69" s="2" t="str">
        <x:v>Creep (2014)</x:v>
      </x:c>
      <x:c r="B69" s="2" t="str">
        <x:v>Creep</x:v>
      </x:c>
      <x:c r="C69" s="3" t="n">
        <x:v>2014</x:v>
      </x:c>
      <x:c r="D69" s="2" t="str">
        <x:v>Blu-ray</x:v>
      </x:c>
      <x:c r="E69" s="4"/>
      <x:c r="F69" s="3" t="n">
        <x:v>250574</x:v>
      </x:c>
      <x:c r="G69" s="5" t="n">
        <x:v>6.4</x:v>
      </x:c>
      <x:c r="H69" s="2" t="str">
        <x:v>Horror, Thriller</x:v>
      </x:c>
      <x:c r="I69" s="6" t="str">
        <x:v>/qn53D574tT0YRyLgirEFHQwGUXw.jpg</x:v>
      </x:c>
      <x:c r="J69" s="7" t="str">
        <x:v>https://image.tmdb.org/t/p/w342/qn53D574tT0YRyLgirEFHQwGUXw.jpg</x:v>
      </x:c>
      <x:c r="K69" s="3" t="e">
        <x:f>IMAGE(J69)</x:f>
      </x:c>
      <x:c r="L69" s="8" t="n">
        <x:v>82</x:v>
      </x:c>
      <x:c r="M69" s="46" t="str">
        <x:v>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x:v>
      </x:c>
      <x:c r="N69" s="2" t="n">
        <x:v>41706</x:v>
      </x:c>
      <x:c r="O69" s="2" t="str">
        <x:v>Unwatched</x:v>
      </x:c>
      <x:c r="P69" s="9"/>
      <x:c r="Q69" s="6"/>
      <x:c r="R69" s="2" t="str">
        <x:v>https://www.themoviedb.org/movie/250574</x:v>
      </x:c>
      <x:c r="S69" s="10" t="str">
        <x:v>Matched</x:v>
      </x:c>
    </x:row>
    <x:row r="70" ht="90" customHeight="1">
      <x:c r="A70" s="2" t="str">
        <x:v>Creepshow (TV Series) (2019-2023)</x:v>
      </x:c>
      <x:c r="B70" s="2" t="str">
        <x:v>Creepshow (TV Series) (2019-2023)</x:v>
      </x:c>
      <x:c r="C70" s="7"/>
      <x:c r="D70" s="2" t="str">
        <x:v>Blu-ray (Season 1), Blu-ray (Season 2), Blu-ray (Season 3), Blu-ray (Season 4)</x:v>
      </x:c>
      <x:c r="E70" s="12"/>
      <x:c r="F70" s="7"/>
      <x:c r="G70" s="11"/>
      <x:c r="H70" s="7"/>
      <x:c r="I70" s="7"/>
      <x:c r="J70" s="7"/>
      <x:c r="K70" s="7"/>
      <x:c r="L70" s="13"/>
      <x:c r="M70" s="46"/>
      <x:c r="N70" s="2"/>
      <x:c r="O70" s="2" t="str">
        <x:v>Unwatched</x:v>
      </x:c>
      <x:c r="P70" s="9"/>
      <x:c r="Q70" s="7"/>
      <x:c r="R70" s="2"/>
      <x:c r="S70" s="10" t="str">
        <x:v>No TMDB match / check title-year</x:v>
      </x:c>
    </x:row>
    <x:row r="71" ht="90" customHeight="1">
      <x:c r="A71" s="2" t="str">
        <x:v>Creepshow (1982)</x:v>
      </x:c>
      <x:c r="B71" s="2" t="str">
        <x:v>Creepshow</x:v>
      </x:c>
      <x:c r="C71" s="3" t="n">
        <x:v>1982</x:v>
      </x:c>
      <x:c r="D71" s="2" t="str">
        <x:v>Blu-ray</x:v>
      </x:c>
      <x:c r="E71" s="4"/>
      <x:c r="F71" s="3" t="n">
        <x:v>16281</x:v>
      </x:c>
      <x:c r="G71" s="5" t="n">
        <x:v>6.898</x:v>
      </x:c>
      <x:c r="H71" s="2" t="str">
        <x:v>Horror, Comedy</x:v>
      </x:c>
      <x:c r="I71" s="6" t="str">
        <x:v>/4SoyTCEpsgLjX6yAyMsx3AsAyRQ.jpg</x:v>
      </x:c>
      <x:c r="J71" s="7" t="str">
        <x:v>https://image.tmdb.org/t/p/w342/4SoyTCEpsgLjX6yAyMsx3AsAyRQ.jpg</x:v>
      </x:c>
      <x:c r="K71" s="3" t="e">
        <x:f>IMAGE(J71)</x:f>
      </x:c>
      <x:c r="L71" s="8" t="n">
        <x:v>120</x:v>
      </x:c>
      <x:c r="M71" s="46" t="str">
        <x:v>Five grisly tales from a 1950s-style comic, including a murdered father rising from beyond, a bizarre meteor, a vengeful husband, a mysterious crate's occupant, and a plague of cockroaches.</x:v>
      </x:c>
      <x:c r="N71" s="2" t="n">
        <x:v>30265</x:v>
      </x:c>
      <x:c r="O71" s="2" t="str">
        <x:v>Unwatched</x:v>
      </x:c>
      <x:c r="P71" s="9"/>
      <x:c r="Q71" s="6"/>
      <x:c r="R71" s="2" t="str">
        <x:v>https://www.themoviedb.org/movie/16281</x:v>
      </x:c>
      <x:c r="S71" s="10" t="str">
        <x:v>Matched</x:v>
      </x:c>
    </x:row>
    <x:row r="72" ht="90" customHeight="1">
      <x:c r="A72" s="2" t="str">
        <x:v>Creepshow 2 (1987)</x:v>
      </x:c>
      <x:c r="B72" s="2" t="str">
        <x:v>Creepshow 2</x:v>
      </x:c>
      <x:c r="C72" s="3" t="n">
        <x:v>1987</x:v>
      </x:c>
      <x:c r="D72" s="2" t="str">
        <x:v>Blu-ray</x:v>
      </x:c>
      <x:c r="E72" s="4"/>
      <x:c r="F72" s="3" t="n">
        <x:v>16288</x:v>
      </x:c>
      <x:c r="G72" s="5" t="n">
        <x:v>6.249</x:v>
      </x:c>
      <x:c r="H72" s="2" t="str">
        <x:v>Horror, Comedy</x:v>
      </x:c>
      <x:c r="I72" s="6" t="str">
        <x:v>/bbanIymLuTYmQGis9nlCkFlT1eg.jpg</x:v>
      </x:c>
      <x:c r="J72" s="7" t="str">
        <x:v>https://image.tmdb.org/t/p/w342/bbanIymLuTYmQGis9nlCkFlT1eg.jpg</x:v>
      </x:c>
      <x:c r="K72" s="3" t="e">
        <x:f>IMAGE(J72)</x:f>
      </x:c>
      <x:c r="L72" s="8" t="n">
        <x:v>89</x:v>
      </x:c>
      <x:c r="M72" s="46" t="str">
        <x:v>Three macabre tales from the latest issue of a boy's favorite comic book, dealing with a vengeful wooden Native American, a monstrous blob in a lake, and an undying hitchhiker.</x:v>
      </x:c>
      <x:c r="N72" s="2" t="n">
        <x:v>31898</x:v>
      </x:c>
      <x:c r="O72" s="2" t="str">
        <x:v>Unwatched</x:v>
      </x:c>
      <x:c r="P72" s="9"/>
      <x:c r="Q72" s="6"/>
      <x:c r="R72" s="2" t="str">
        <x:v>https://www.themoviedb.org/movie/16288</x:v>
      </x:c>
      <x:c r="S72" s="10" t="str">
        <x:v>Matched</x:v>
      </x:c>
    </x:row>
    <x:row r="73" ht="90" customHeight="1">
      <x:c r="A73" s="2" t="str">
        <x:v>Cult of Chucky (2017)</x:v>
      </x:c>
      <x:c r="B73" s="2" t="str">
        <x:v>Cult of Chucky</x:v>
      </x:c>
      <x:c r="C73" s="3" t="n">
        <x:v>2017</x:v>
      </x:c>
      <x:c r="D73" s="2" t="str">
        <x:v>Blu-ray</x:v>
      </x:c>
      <x:c r="E73" s="4"/>
      <x:c r="F73" s="3" t="n">
        <x:v>393345</x:v>
      </x:c>
      <x:c r="G73" s="5" t="n">
        <x:v>5.844</x:v>
      </x:c>
      <x:c r="H73" s="2" t="str">
        <x:v>Horror, Thriller</x:v>
      </x:c>
      <x:c r="I73" s="6" t="str">
        <x:v>/r5JUiMYfatwYeDkxkLWYUx5GIjY.jpg</x:v>
      </x:c>
      <x:c r="J73" s="7" t="str">
        <x:v>https://image.tmdb.org/t/p/w342/r5JUiMYfatwYeDkxkLWYUx5GIjY.jpg</x:v>
      </x:c>
      <x:c r="K73" s="3" t="e">
        <x:f>IMAGE(J73)</x:f>
      </x:c>
      <x:c r="L73" s="8" t="n">
        <x:v>91</x:v>
      </x:c>
      <x:c r="M73" s="46" t="str">
        <x:v>Confined to an asylum for the criminally insane for the past four years, Nica is wrongly convinced that she, not Chucky, murdered her entire family... until a string of grisly deaths occur after her psychiatrist introduces a new group therapy tool -- a "Good Guy" doll.</x:v>
      </x:c>
      <x:c r="N73" s="2" t="n">
        <x:v>43020</x:v>
      </x:c>
      <x:c r="O73" s="2" t="str">
        <x:v>Unwatched</x:v>
      </x:c>
      <x:c r="P73" s="9"/>
      <x:c r="Q73" s="6"/>
      <x:c r="R73" s="2" t="str">
        <x:v>https://www.themoviedb.org/movie/393345</x:v>
      </x:c>
      <x:c r="S73" s="10" t="str">
        <x:v>Matched</x:v>
      </x:c>
    </x:row>
    <x:row r="74" ht="90" customHeight="1">
      <x:c r="A74" s="2" t="str">
        <x:v>Cure (1997)</x:v>
      </x:c>
      <x:c r="B74" s="2" t="str">
        <x:v>Cure</x:v>
      </x:c>
      <x:c r="C74" s="3" t="n">
        <x:v>1997</x:v>
      </x:c>
      <x:c r="D74" s="2" t="str">
        <x:v>Blu-ray</x:v>
      </x:c>
      <x:c r="E74" s="4"/>
      <x:c r="F74" s="3" t="n">
        <x:v>36095</x:v>
      </x:c>
      <x:c r="G74" s="5" t="n">
        <x:v>7.555</x:v>
      </x:c>
      <x:c r="H74" s="2" t="str">
        <x:v>Crime, Thriller, Horror, Mystery</x:v>
      </x:c>
      <x:c r="I74" s="6" t="str">
        <x:v>/yTRrqIGusJuzG5Pe3iFQTnHg1Ps.jpg</x:v>
      </x:c>
      <x:c r="J74" s="7" t="str">
        <x:v>https://image.tmdb.org/t/p/w342/yTRrqIGusJuzG5Pe3iFQTnHg1Ps.jpg</x:v>
      </x:c>
      <x:c r="K74" s="3" t="e">
        <x:f>IMAGE(J74)</x:f>
      </x:c>
      <x:c r="L74" s="8" t="n">
        <x:v>111</x:v>
      </x:c>
      <x:c r="M74" s="46" t="str">
        <x:v>A frustrated detective deals with the case of several gruesome murders committed by people who have no recollection of what they've done.</x:v>
      </x:c>
      <x:c r="N74" s="2" t="n">
        <x:v>35791</x:v>
      </x:c>
      <x:c r="O74" s="2" t="str">
        <x:v>Unwatched</x:v>
      </x:c>
      <x:c r="P74" s="9"/>
      <x:c r="Q74" s="6"/>
      <x:c r="R74" s="2" t="str">
        <x:v>https://www.themoviedb.org/movie/36095</x:v>
      </x:c>
      <x:c r="S74" s="10" t="str">
        <x:v>Matched</x:v>
      </x:c>
    </x:row>
    <x:row r="75" ht="90" customHeight="1">
      <x:c r="A75" s="2" t="str">
        <x:v>Curse of Chucky (2013)</x:v>
      </x:c>
      <x:c r="B75" s="2" t="str">
        <x:v>Curse of Chucky</x:v>
      </x:c>
      <x:c r="C75" s="3" t="n">
        <x:v>2013</x:v>
      </x:c>
      <x:c r="D75" s="2" t="str">
        <x:v>Blu-ray</x:v>
      </x:c>
      <x:c r="E75" s="4"/>
      <x:c r="F75" s="3" t="n">
        <x:v>167032</x:v>
      </x:c>
      <x:c r="G75" s="5" t="n">
        <x:v>5.941</x:v>
      </x:c>
      <x:c r="H75" s="2" t="str">
        <x:v>Horror, Thriller</x:v>
      </x:c>
      <x:c r="I75" s="6" t="str">
        <x:v>/x9DzkDWp8O82Wzxk6otuD9bce9a.jpg</x:v>
      </x:c>
      <x:c r="J75" s="7" t="str">
        <x:v>https://image.tmdb.org/t/p/w342/x9DzkDWp8O82Wzxk6otuD9bce9a.jpg</x:v>
      </x:c>
      <x:c r="K75" s="3" t="e">
        <x:f>IMAGE(J75)</x:f>
      </x:c>
      <x:c r="L75" s="8" t="n">
        <x:v>97</x:v>
      </x:c>
      <x:c r="M75" s="46" t="str">
        <x:v>After her mother's mysterious death, Nica begins to suspect that the talking, red-haired doll her visiting niece has been playing with may be the key to the mounting bloodshed and chaos.</x:v>
      </x:c>
      <x:c r="N75" s="2" t="n">
        <x:v>41555</x:v>
      </x:c>
      <x:c r="O75" s="2" t="str">
        <x:v>Unwatched</x:v>
      </x:c>
      <x:c r="P75" s="9"/>
      <x:c r="Q75" s="6"/>
      <x:c r="R75" s="2" t="str">
        <x:v>https://www.themoviedb.org/movie/167032</x:v>
      </x:c>
      <x:c r="S75" s="10" t="str">
        <x:v>Matched</x:v>
      </x:c>
    </x:row>
    <x:row r="76" ht="90" customHeight="1">
      <x:c r="A76" s="2" t="str">
        <x:v>The Dark Knight (2008)</x:v>
      </x:c>
      <x:c r="B76" s="2" t="str">
        <x:v>The Dark Knight</x:v>
      </x:c>
      <x:c r="C76" s="3" t="n">
        <x:v>2008</x:v>
      </x:c>
      <x:c r="D76" s="2" t="str">
        <x:v>Blu-ray</x:v>
      </x:c>
      <x:c r="E76" s="4"/>
      <x:c r="F76" s="3" t="n">
        <x:v>155</x:v>
      </x:c>
      <x:c r="G76" s="5" t="n">
        <x:v>8.531</x:v>
      </x:c>
      <x:c r="H76" s="2" t="str">
        <x:v>Action, Crime, Thriller</x:v>
      </x:c>
      <x:c r="I76" s="6" t="str">
        <x:v>/qJ2tW6WMUDux911r6m7haRef0WH.jpg</x:v>
      </x:c>
      <x:c r="J76" s="7" t="str">
        <x:v>https://image.tmdb.org/t/p/w342/qJ2tW6WMUDux911r6m7haRef0WH.jpg</x:v>
      </x:c>
      <x:c r="K76" s="3" t="e">
        <x:f>IMAGE(J76)</x:f>
      </x:c>
      <x:c r="L76" s="8" t="n">
        <x:v>152</x:v>
      </x:c>
      <x:c r="M76" s="46" t="str">
        <x: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x:v>
      </x:c>
      <x:c r="N76" s="2" t="n">
        <x:v>39645</x:v>
      </x:c>
      <x:c r="O76" s="2" t="str">
        <x:v>Unwatched</x:v>
      </x:c>
      <x:c r="P76" s="9"/>
      <x:c r="Q76" s="6"/>
      <x:c r="R76" s="2" t="str">
        <x:v>https://www.themoviedb.org/movie/155</x:v>
      </x:c>
      <x:c r="S76" s="10" t="str">
        <x:v>Matched</x:v>
      </x:c>
    </x:row>
    <x:row r="77" ht="90" customHeight="1">
      <x:c r="A77" s="2" t="str">
        <x:v>The Dark Knight Rises (2012)</x:v>
      </x:c>
      <x:c r="B77" s="2" t="str">
        <x:v>The Dark Knight Rises</x:v>
      </x:c>
      <x:c r="C77" s="3" t="n">
        <x:v>2012</x:v>
      </x:c>
      <x:c r="D77" s="2" t="str">
        <x:v>Blu-ray</x:v>
      </x:c>
      <x:c r="E77" s="4"/>
      <x:c r="F77" s="3" t="n">
        <x:v>49026</x:v>
      </x:c>
      <x:c r="G77" s="5" t="n">
        <x:v>7.8</x:v>
      </x:c>
      <x:c r="H77" s="2" t="str">
        <x:v>Action, Crime, Drama, Thriller</x:v>
      </x:c>
      <x:c r="I77" s="6" t="str">
        <x:v>/hr0L2aueqlP2BYUblTTjmtn0hw4.jpg</x:v>
      </x:c>
      <x:c r="J77" s="7" t="str">
        <x:v>https://image.tmdb.org/t/p/w342/hr0L2aueqlP2BYUblTTjmtn0hw4.jpg</x:v>
      </x:c>
      <x:c r="K77" s="3" t="e">
        <x:f>IMAGE(J77)</x:f>
      </x:c>
      <x:c r="L77" s="8" t="n">
        <x:v>165</x:v>
      </x:c>
      <x:c r="M77" s="46" t="str">
        <x: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x:v>
      </x:c>
      <x:c r="N77" s="2" t="n">
        <x:v>41107</x:v>
      </x:c>
      <x:c r="O77" s="2" t="str">
        <x:v>Unwatched</x:v>
      </x:c>
      <x:c r="P77" s="9"/>
      <x:c r="Q77" s="6"/>
      <x:c r="R77" s="2" t="str">
        <x:v>https://www.themoviedb.org/movie/49026</x:v>
      </x:c>
      <x:c r="S77" s="10" t="str">
        <x:v>Matched</x:v>
      </x:c>
    </x:row>
    <x:row r="78" ht="90" customHeight="1">
      <x:c r="A78" s="2" t="str">
        <x:v>Dawn of the Dead (2004)</x:v>
      </x:c>
      <x:c r="B78" s="2" t="str">
        <x:v>Dawn of the Dead</x:v>
      </x:c>
      <x:c r="C78" s="3" t="n">
        <x:v>2004</x:v>
      </x:c>
      <x:c r="D78" s="2" t="str">
        <x:v>Blu-ray</x:v>
      </x:c>
      <x:c r="E78" s="4"/>
      <x:c r="F78" s="3" t="n">
        <x:v>924</x:v>
      </x:c>
      <x:c r="G78" s="5" t="n">
        <x:v>7.067</x:v>
      </x:c>
      <x:c r="H78" s="2" t="str">
        <x:v>Horror, Science Fiction</x:v>
      </x:c>
      <x:c r="I78" s="6" t="str">
        <x:v>/ttquyxStEEctzghtA2f4PUGprDr.jpg</x:v>
      </x:c>
      <x:c r="J78" s="7" t="str">
        <x:v>https://image.tmdb.org/t/p/w342/ttquyxStEEctzghtA2f4PUGprDr.jpg</x:v>
      </x:c>
      <x:c r="K78" s="3" t="e">
        <x:f>IMAGE(J78)</x:f>
      </x:c>
      <x:c r="L78" s="8" t="n">
        <x:v>101</x:v>
      </x:c>
      <x:c r="M78" s="46" t="str">
        <x:v>A group of survivors take refuge in a shopping mall after the world is taken over by aggressive, flesh-eating zombies.</x:v>
      </x:c>
      <x:c r="N78" s="2" t="n">
        <x:v>38065</x:v>
      </x:c>
      <x:c r="O78" s="2" t="str">
        <x:v>Unwatched</x:v>
      </x:c>
      <x:c r="P78" s="9"/>
      <x:c r="Q78" s="6"/>
      <x:c r="R78" s="2" t="str">
        <x:v>https://www.themoviedb.org/movie/924</x:v>
      </x:c>
      <x:c r="S78" s="10" t="str">
        <x:v>Matched</x:v>
      </x:c>
    </x:row>
    <x:row r="79" ht="90" customHeight="1">
      <x:c r="A79" s="2" t="str">
        <x:v>Dawn of the Planet of the Apes (2014)</x:v>
      </x:c>
      <x:c r="B79" s="2" t="str">
        <x:v>Dawn of the Planet of the Apes</x:v>
      </x:c>
      <x:c r="C79" s="3" t="n">
        <x:v>2014</x:v>
      </x:c>
      <x:c r="D79" s="2" t="str">
        <x:v>Blu-ray</x:v>
      </x:c>
      <x:c r="E79" s="4"/>
      <x:c r="F79" s="3" t="n">
        <x:v>119450</x:v>
      </x:c>
      <x:c r="G79" s="5" t="n">
        <x:v>7.3</x:v>
      </x:c>
      <x:c r="H79" s="2" t="str">
        <x:v>Science Fiction, Action, Drama, Thriller</x:v>
      </x:c>
      <x:c r="I79" s="6" t="str">
        <x:v>/mSmAc9G25fhOHH45SLEeagR0qi7.jpg</x:v>
      </x:c>
      <x:c r="J79" s="7" t="str">
        <x:v>https://image.tmdb.org/t/p/w342/mSmAc9G25fhOHH45SLEeagR0qi7.jpg</x:v>
      </x:c>
      <x:c r="K79" s="3" t="e">
        <x:f>IMAGE(J79)</x:f>
      </x:c>
      <x:c r="L79" s="8" t="n">
        <x:v>130</x:v>
      </x:c>
      <x:c r="M79" s="46" t="str">
        <x:v>A group of scientists in San Francisco struggle to stay alive in the aftermath of a plague that is wiping out humanity, while Caesar tries to maintain dominance over his community of intelligent apes.</x:v>
      </x:c>
      <x:c r="N79" s="2" t="n">
        <x:v>41828</x:v>
      </x:c>
      <x:c r="O79" s="2" t="str">
        <x:v>Unwatched</x:v>
      </x:c>
      <x:c r="P79" s="9"/>
      <x:c r="Q79" s="6"/>
      <x:c r="R79" s="2" t="str">
        <x:v>https://www.themoviedb.org/movie/119450</x:v>
      </x:c>
      <x:c r="S79" s="10" t="str">
        <x:v>Matched</x:v>
      </x:c>
    </x:row>
    <x:row r="80" ht="90" customHeight="1">
      <x:c r="A80" s="2" t="str">
        <x:v>The Day After Tomorrow (2004)</x:v>
      </x:c>
      <x:c r="B80" s="2" t="str">
        <x:v>The Day After Tomorrow</x:v>
      </x:c>
      <x:c r="C80" s="3" t="n">
        <x:v>2004</x:v>
      </x:c>
      <x:c r="D80" s="2" t="str">
        <x:v>Blu-ray</x:v>
      </x:c>
      <x:c r="E80" s="4"/>
      <x:c r="F80" s="3" t="n">
        <x:v>435</x:v>
      </x:c>
      <x:c r="G80" s="5" t="n">
        <x:v>6.6</x:v>
      </x:c>
      <x:c r="H80" s="2" t="str">
        <x:v>Science Fiction, Thriller, Adventure</x:v>
      </x:c>
      <x:c r="I80" s="6" t="str">
        <x:v>/Wr4HeYQRvwVCxzOV5TmGE7UkXq.jpg</x:v>
      </x:c>
      <x:c r="J80" s="7" t="str">
        <x:v>https://image.tmdb.org/t/p/w342/Wr4HeYQRvwVCxzOV5TmGE7UkXq.jpg</x:v>
      </x:c>
      <x:c r="K80" s="3" t="e">
        <x:f>IMAGE(J80)</x:f>
      </x:c>
      <x:c r="L80" s="8" t="n">
        <x:v>123</x:v>
      </x:c>
      <x:c r="M80" s="46" t="str">
        <x:v>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x:v>
      </x:c>
      <x:c r="N80" s="2" t="n">
        <x:v>38133</x:v>
      </x:c>
      <x:c r="O80" s="2" t="str">
        <x:v>Unwatched</x:v>
      </x:c>
      <x:c r="P80" s="9"/>
      <x:c r="Q80" s="6"/>
      <x:c r="R80" s="2" t="str">
        <x:v>https://www.themoviedb.org/movie/435</x:v>
      </x:c>
      <x:c r="S80" s="10" t="str">
        <x:v>Matched</x:v>
      </x:c>
    </x:row>
    <x:row r="81" ht="90" customHeight="1">
      <x:c r="A81" s="2" t="str">
        <x:v>Dead Silence (2007)</x:v>
      </x:c>
      <x:c r="B81" s="2" t="str">
        <x:v>Dead Silence</x:v>
      </x:c>
      <x:c r="C81" s="3" t="n">
        <x:v>2007</x:v>
      </x:c>
      <x:c r="D81" s="2" t="str">
        <x:v>Blu-ray</x:v>
      </x:c>
      <x:c r="E81" s="4"/>
      <x:c r="F81" s="3" t="n">
        <x:v>14001</x:v>
      </x:c>
      <x:c r="G81" s="5" t="n">
        <x:v>6.453</x:v>
      </x:c>
      <x:c r="H81" s="2" t="str">
        <x:v>Horror</x:v>
      </x:c>
      <x:c r="I81" s="6" t="str">
        <x:v>/rvcUVdATIHKZt7BSSttUkKbeBXN.jpg</x:v>
      </x:c>
      <x:c r="J81" s="7" t="str">
        <x:v>https://image.tmdb.org/t/p/w342/rvcUVdATIHKZt7BSSttUkKbeBXN.jpg</x:v>
      </x:c>
      <x:c r="K81" s="3" t="e">
        <x:f>IMAGE(J81)</x:f>
      </x:c>
      <x:c r="L81" s="8" t="n">
        <x:v>89</x:v>
      </x:c>
      <x:c r="M81" s="46" t="str">
        <x: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x:v>
      </x:c>
      <x:c r="N81" s="2" t="n">
        <x:v>39157</x:v>
      </x:c>
      <x:c r="O81" s="2" t="str">
        <x:v>Unwatched</x:v>
      </x:c>
      <x:c r="P81" s="9"/>
      <x:c r="Q81" s="6"/>
      <x:c r="R81" s="2" t="str">
        <x:v>https://www.themoviedb.org/movie/14001</x:v>
      </x:c>
      <x:c r="S81" s="10" t="str">
        <x:v>Matched</x:v>
      </x:c>
    </x:row>
    <x:row r="82" ht="90" customHeight="1">
      <x:c r="A82" s="2" t="str">
        <x:v>The Descent (2005)</x:v>
      </x:c>
      <x:c r="B82" s="2" t="str">
        <x:v>The Descent</x:v>
      </x:c>
      <x:c r="C82" s="3" t="n">
        <x:v>2005</x:v>
      </x:c>
      <x:c r="D82" s="2" t="str">
        <x:v>Blu-ray</x:v>
      </x:c>
      <x:c r="E82" s="4"/>
      <x:c r="F82" s="3" t="n">
        <x:v>9392</x:v>
      </x:c>
      <x:c r="G82" s="5" t="n">
        <x:v>6.979</x:v>
      </x:c>
      <x:c r="H82" s="2" t="str">
        <x:v>Adventure, Horror</x:v>
      </x:c>
      <x:c r="I82" s="6" t="str">
        <x:v>/mxFPI4KYBk5ri9cPteIS8jiDFgj.jpg</x:v>
      </x:c>
      <x:c r="J82" s="7" t="str">
        <x:v>https://image.tmdb.org/t/p/w342/mxFPI4KYBk5ri9cPteIS8jiDFgj.jpg</x:v>
      </x:c>
      <x:c r="K82" s="3" t="e">
        <x:f>IMAGE(J82)</x:f>
      </x:c>
      <x:c r="L82" s="8" t="n">
        <x:v>100</x:v>
      </x:c>
      <x:c r="M82" s="46" t="str">
        <x:v>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x:v>
      </x:c>
      <x:c r="N82" s="2" t="n">
        <x:v>38541</x:v>
      </x:c>
      <x:c r="O82" s="2" t="str">
        <x:v>Unwatched</x:v>
      </x:c>
      <x:c r="P82" s="9"/>
      <x:c r="Q82" s="6"/>
      <x:c r="R82" s="2" t="str">
        <x:v>https://www.themoviedb.org/movie/9392</x:v>
      </x:c>
      <x:c r="S82" s="10" t="str">
        <x:v>Matched</x:v>
      </x:c>
    </x:row>
    <x:row r="83" ht="90" customHeight="1">
      <x:c r="A83" s="2" t="str">
        <x:v>The Devil's Rejects (2005)</x:v>
      </x:c>
      <x:c r="B83" s="2" t="str">
        <x:v>The Devil's Rejects</x:v>
      </x:c>
      <x:c r="C83" s="3" t="n">
        <x:v>2005</x:v>
      </x:c>
      <x:c r="D83" s="2" t="str">
        <x:v>Blu-ray</x:v>
      </x:c>
      <x:c r="E83" s="4"/>
      <x:c r="F83" s="3" t="n">
        <x:v>1696</x:v>
      </x:c>
      <x:c r="G83" s="5" t="n">
        <x:v>6.7</x:v>
      </x:c>
      <x:c r="H83" s="2" t="str">
        <x:v>Drama, Horror, Crime</x:v>
      </x:c>
      <x:c r="I83" s="6" t="str">
        <x:v>/drZz4AuI7trq6BxlH9Xa4v4O0Pb.jpg</x:v>
      </x:c>
      <x:c r="J83" s="7" t="str">
        <x:v>https://image.tmdb.org/t/p/w342/drZz4AuI7trq6BxlH9Xa4v4O0Pb.jpg</x:v>
      </x:c>
      <x:c r="K83" s="3" t="e">
        <x:f>IMAGE(J83)</x:f>
      </x:c>
      <x:c r="L83" s="8" t="n">
        <x:v>111</x:v>
      </x:c>
      <x:c r="M83" s="46" t="str">
        <x:v>The murderous, backwoods Firefly family take to the road to escape the vengeful Sheriff Wydell, who is not afraid of being as ruthless as his target.</x:v>
      </x:c>
      <x:c r="N83" s="2" t="n">
        <x:v>38555</x:v>
      </x:c>
      <x:c r="O83" s="2" t="str">
        <x:v>Unwatched</x:v>
      </x:c>
      <x:c r="P83" s="9"/>
      <x:c r="Q83" s="6"/>
      <x:c r="R83" s="2" t="str">
        <x:v>https://www.themoviedb.org/movie/1696</x:v>
      </x:c>
      <x:c r="S83" s="10" t="str">
        <x:v>Matched</x:v>
      </x:c>
    </x:row>
    <x:row r="84" ht="90" customHeight="1">
      <x:c r="A84" s="2" t="str">
        <x:v>The Dictator (2012)</x:v>
      </x:c>
      <x:c r="B84" s="2" t="str">
        <x:v>The Dictator</x:v>
      </x:c>
      <x:c r="C84" s="3" t="n">
        <x:v>2012</x:v>
      </x:c>
      <x:c r="D84" s="2" t="str">
        <x:v>Blu-ray</x:v>
      </x:c>
      <x:c r="E84" s="4"/>
      <x:c r="F84" s="3" t="n">
        <x:v>76493</x:v>
      </x:c>
      <x:c r="G84" s="5" t="n">
        <x:v>6.23</x:v>
      </x:c>
      <x:c r="H84" s="2" t="str">
        <x:v>Comedy</x:v>
      </x:c>
      <x:c r="I84" s="6" t="str">
        <x:v>/n0W7kajF4GFMRk2c0wWwMQqTaDM.jpg</x:v>
      </x:c>
      <x:c r="J84" s="7" t="str">
        <x:v>https://image.tmdb.org/t/p/w342/n0W7kajF4GFMRk2c0wWwMQqTaDM.jpg</x:v>
      </x:c>
      <x:c r="K84" s="3" t="e">
        <x:f>IMAGE(J84)</x:f>
      </x:c>
      <x:c r="L84" s="8" t="n">
        <x:v>83</x:v>
      </x:c>
      <x:c r="M84" s="46" t="str">
        <x:v>The heroic story of a dictator who risks his life to ensure that democracy would never come to the country he so lovingly oppressed.</x:v>
      </x:c>
      <x:c r="N84" s="2" t="n">
        <x:v>41044</x:v>
      </x:c>
      <x:c r="O84" s="2" t="str">
        <x:v>Unwatched</x:v>
      </x:c>
      <x:c r="P84" s="9"/>
      <x:c r="Q84" s="6"/>
      <x:c r="R84" s="2" t="str">
        <x:v>https://www.themoviedb.org/movie/76493</x:v>
      </x:c>
      <x:c r="S84" s="10" t="str">
        <x:v>Matched</x:v>
      </x:c>
    </x:row>
    <x:row r="85" ht="90" customHeight="1">
      <x:c r="A85" s="2" t="str">
        <x:v>Disturbia (2007)</x:v>
      </x:c>
      <x:c r="B85" s="2" t="str">
        <x:v>Disturbia</x:v>
      </x:c>
      <x:c r="C85" s="3" t="n">
        <x:v>2007</x:v>
      </x:c>
      <x:c r="D85" s="2" t="str">
        <x:v>Blu-ray</x:v>
      </x:c>
      <x:c r="E85" s="4"/>
      <x:c r="F85" s="3" t="n">
        <x:v>8271</x:v>
      </x:c>
      <x:c r="G85" s="5" t="n">
        <x:v>6.686</x:v>
      </x:c>
      <x:c r="H85" s="2" t="str">
        <x:v>Thriller, Drama, Mystery</x:v>
      </x:c>
      <x:c r="I85" s="6" t="str">
        <x:v>/3f9KwSrieczuH9nRrwfOsoMoMNd.jpg</x:v>
      </x:c>
      <x:c r="J85" s="7" t="str">
        <x:v>https://image.tmdb.org/t/p/w342/3f9KwSrieczuH9nRrwfOsoMoMNd.jpg</x:v>
      </x:c>
      <x:c r="K85" s="3" t="e">
        <x:f>IMAGE(J85)</x:f>
      </x:c>
      <x:c r="L85" s="8" t="n">
        <x:v>105</x:v>
      </x:c>
      <x:c r="M85" s="46" t="str">
        <x:v>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x:v>
      </x:c>
      <x:c r="N85" s="2" t="n">
        <x:v>39168</x:v>
      </x:c>
      <x:c r="O85" s="2" t="str">
        <x:v>Unwatched</x:v>
      </x:c>
      <x:c r="P85" s="9"/>
      <x:c r="Q85" s="6"/>
      <x:c r="R85" s="2" t="str">
        <x:v>https://www.themoviedb.org/movie/8271</x:v>
      </x:c>
      <x:c r="S85" s="10" t="str">
        <x:v>Matched</x:v>
      </x:c>
    </x:row>
    <x:row r="86" ht="90" customHeight="1">
      <x:c r="A86" s="2" t="str">
        <x:v>Doctor Sleep (2019)</x:v>
      </x:c>
      <x:c r="B86" s="2" t="str">
        <x:v>Doctor Sleep</x:v>
      </x:c>
      <x:c r="C86" s="3" t="n">
        <x:v>2019</x:v>
      </x:c>
      <x:c r="D86" s="2" t="str">
        <x:v>Blu-ray</x:v>
      </x:c>
      <x:c r="E86" s="4"/>
      <x:c r="F86" s="3" t="n">
        <x:v>501170</x:v>
      </x:c>
      <x:c r="G86" s="5" t="n">
        <x:v>7.1</x:v>
      </x:c>
      <x:c r="H86" s="2" t="str">
        <x:v>Horror, Fantasy</x:v>
      </x:c>
      <x:c r="I86" s="6" t="str">
        <x:v>/p69QzIBbN06aTYqRRiCOY1emNBh.jpg</x:v>
      </x:c>
      <x:c r="J86" s="7" t="str">
        <x:v>https://image.tmdb.org/t/p/w342/p69QzIBbN06aTYqRRiCOY1emNBh.jpg</x:v>
      </x:c>
      <x:c r="K86" s="3" t="e">
        <x:f>IMAGE(J86)</x:f>
      </x:c>
      <x:c r="L86" s="8" t="n">
        <x:v>152</x:v>
      </x:c>
      <x:c r="M86" s="46" t="str">
        <x:v>Still scarred by the trauma he endured as a child at the Overlook Hotel, Dan Torrance faces the ghosts of the past when he meets Abra, a courageous teen who desperately needs his help -- and who possesses a powerful extrasensory ability called the "shine".</x:v>
      </x:c>
      <x:c r="N86" s="2" t="n">
        <x:v>43768</x:v>
      </x:c>
      <x:c r="O86" s="2" t="str">
        <x:v>Unwatched</x:v>
      </x:c>
      <x:c r="P86" s="9"/>
      <x:c r="Q86" s="6"/>
      <x:c r="R86" s="2" t="str">
        <x:v>https://www.themoviedb.org/movie/501170</x:v>
      </x:c>
      <x:c r="S86" s="10" t="str">
        <x:v>Matched</x:v>
      </x:c>
    </x:row>
    <x:row r="87" ht="90" customHeight="1">
      <x:c r="A87" s="2" t="str">
        <x:v>Dogma (1999)</x:v>
      </x:c>
      <x:c r="B87" s="2" t="str">
        <x:v>Dogma</x:v>
      </x:c>
      <x:c r="C87" s="3" t="n">
        <x:v>1999</x:v>
      </x:c>
      <x:c r="D87" s="2" t="str">
        <x:v>Blu-ray</x:v>
      </x:c>
      <x:c r="E87" s="4"/>
      <x:c r="F87" s="3" t="n">
        <x:v>1832</x:v>
      </x:c>
      <x:c r="G87" s="5" t="n">
        <x:v>6.929</x:v>
      </x:c>
      <x:c r="H87" s="2" t="str">
        <x:v>Fantasy, Comedy, Adventure</x:v>
      </x:c>
      <x:c r="I87" s="6" t="str">
        <x:v>/oxhHl2YokTqcP44QK5tiTgjgLgk.jpg</x:v>
      </x:c>
      <x:c r="J87" s="7" t="str">
        <x:v>https://image.tmdb.org/t/p/w342/oxhHl2YokTqcP44QK5tiTgjgLgk.jpg</x:v>
      </x:c>
      <x:c r="K87" s="3" t="e">
        <x:f>IMAGE(J87)</x:f>
      </x:c>
      <x:c r="L87" s="8" t="n">
        <x:v>130</x:v>
      </x:c>
      <x:c r="M87" s="46" t="str">
        <x:v>An abortion clinic worker with a special heritage is called upon to save the existence of humanity from being negated by two renegade angels trying to exploit a loophole and reenter Heaven.</x:v>
      </x:c>
      <x:c r="N87" s="2" t="n">
        <x:v>36437</x:v>
      </x:c>
      <x:c r="O87" s="2" t="str">
        <x:v>Unwatched</x:v>
      </x:c>
      <x:c r="P87" s="9"/>
      <x:c r="Q87" s="6"/>
      <x:c r="R87" s="2" t="str">
        <x:v>https://www.themoviedb.org/movie/1832</x:v>
      </x:c>
      <x:c r="S87" s="10" t="str">
        <x:v>Matched</x:v>
      </x:c>
    </x:row>
    <x:row r="88" ht="90" customHeight="1">
      <x:c r="A88" s="2" t="str">
        <x:v>Dreamcatcher (2003)</x:v>
      </x:c>
      <x:c r="B88" s="2" t="str">
        <x:v>Dreamcatcher</x:v>
      </x:c>
      <x:c r="C88" s="3" t="n">
        <x:v>2003</x:v>
      </x:c>
      <x:c r="D88" s="2" t="str">
        <x:v>Blu-ray</x:v>
      </x:c>
      <x:c r="E88" s="4"/>
      <x:c r="F88" s="3" t="n">
        <x:v>6171</x:v>
      </x:c>
      <x:c r="G88" s="5" t="n">
        <x:v>5.6</x:v>
      </x:c>
      <x:c r="H88" s="2" t="str">
        <x:v>Drama, Horror, Science Fiction, Thriller</x:v>
      </x:c>
      <x:c r="I88" s="6" t="str">
        <x:v>/lLhvwLNU4pLgvaNREVFaQ4n3lCf.jpg</x:v>
      </x:c>
      <x:c r="J88" s="7" t="str">
        <x:v>https://image.tmdb.org/t/p/w342/lLhvwLNU4pLgvaNREVFaQ4n3lCf.jpg</x:v>
      </x:c>
      <x:c r="K88" s="3" t="e">
        <x:f>IMAGE(J88)</x:f>
      </x:c>
      <x:c r="L88" s="8" t="n">
        <x:v>134</x:v>
      </x:c>
      <x:c r="M88" s="46" t="str">
        <x:v>Four childhood friends reunite for a hunting trip in the Maine woods, bound by a psychic force born from a childhood friend's dreamcatcher. They find themselves caught in a grotesque alien invasion that twists memory, sanity and reality into something far more sinister.</x:v>
      </x:c>
      <x:c r="N88" s="2" t="n">
        <x:v>37701</x:v>
      </x:c>
      <x:c r="O88" s="2" t="str">
        <x:v>Unwatched</x:v>
      </x:c>
      <x:c r="P88" s="9"/>
      <x:c r="Q88" s="6"/>
      <x:c r="R88" s="2" t="str">
        <x:v>https://www.themoviedb.org/movie/6171</x:v>
      </x:c>
      <x:c r="S88" s="10" t="str">
        <x:v>Matched</x:v>
      </x:c>
    </x:row>
    <x:row r="89" ht="90" customHeight="1">
      <x:c r="A89" s="2" t="str">
        <x:v>Drillbit Taylor (2008)</x:v>
      </x:c>
      <x:c r="B89" s="2" t="str">
        <x:v>Drillbit Taylor</x:v>
      </x:c>
      <x:c r="C89" s="3" t="n">
        <x:v>2008</x:v>
      </x:c>
      <x:c r="D89" s="2" t="str">
        <x:v>Blu-ray</x:v>
      </x:c>
      <x:c r="E89" s="4"/>
      <x:c r="F89" s="3" t="n">
        <x:v>8457</x:v>
      </x:c>
      <x:c r="G89" s="5" t="n">
        <x:v>5.824</x:v>
      </x:c>
      <x:c r="H89" s="2" t="str">
        <x:v>Comedy</x:v>
      </x:c>
      <x:c r="I89" s="6" t="str">
        <x:v>/shqO696kFnM8Z4ODa3JglcjP97u.jpg</x:v>
      </x:c>
      <x:c r="J89" s="7" t="str">
        <x:v>https://image.tmdb.org/t/p/w342/shqO696kFnM8Z4ODa3JglcjP97u.jpg</x:v>
      </x:c>
      <x:c r="K89" s="3" t="e">
        <x:f>IMAGE(J89)</x:f>
      </x:c>
      <x:c r="L89" s="8" t="n">
        <x:v>110</x:v>
      </x:c>
      <x:c r="M89" s="46" t="str">
        <x:v>Dealing with a sociopathic school bully, three high school freshmen hire a low-budget bodyguard to protect them, not realizing he is just a homeless beggar and petty thief looking for some easy cash.</x:v>
      </x:c>
      <x:c r="N89" s="2" t="n">
        <x:v>39482</x:v>
      </x:c>
      <x:c r="O89" s="2" t="str">
        <x:v>Unwatched</x:v>
      </x:c>
      <x:c r="P89" s="9"/>
      <x:c r="Q89" s="6"/>
      <x:c r="R89" s="2" t="str">
        <x:v>https://www.themoviedb.org/movie/8457</x:v>
      </x:c>
      <x:c r="S89" s="10" t="str">
        <x:v>Matched</x:v>
      </x:c>
    </x:row>
    <x:row r="90" ht="90" customHeight="1">
      <x:c r="A90" s="2" t="str">
        <x:v>E.T.: The Extra-Terrestrial (1982)</x:v>
      </x:c>
      <x:c r="B90" s="2" t="str">
        <x:v>E.T.: The Extra-Terrestrial</x:v>
      </x:c>
      <x:c r="C90" s="3" t="n">
        <x:v>1982</x:v>
      </x:c>
      <x:c r="D90" s="2" t="str">
        <x:v>Blu-ray</x:v>
      </x:c>
      <x:c r="E90" s="4"/>
      <x:c r="F90" s="3" t="n">
        <x:v>601</x:v>
      </x:c>
      <x:c r="G90" s="5" t="n">
        <x:v>7.516</x:v>
      </x:c>
      <x:c r="H90" s="2" t="str">
        <x:v>Adventure, Science Fiction, Family</x:v>
      </x:c>
      <x:c r="I90" s="6" t="str">
        <x:v>/an0nD6uq6byfxXCfk6lQBzdL2J1.jpg</x:v>
      </x:c>
      <x:c r="J90" s="7" t="str">
        <x:v>https://image.tmdb.org/t/p/w342/an0nD6uq6byfxXCfk6lQBzdL2J1.jpg</x:v>
      </x:c>
      <x:c r="K90" s="3" t="e">
        <x:f>IMAGE(J90)</x:f>
      </x:c>
      <x:c r="L90" s="8" t="n">
        <x:v>115</x:v>
      </x:c>
      <x:c r="M90" s="46" t="str">
        <x:v>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x:v>
      </x:c>
      <x:c r="N90" s="2" t="n">
        <x:v>30113</x:v>
      </x:c>
      <x:c r="O90" s="2" t="str">
        <x:v>Unwatched</x:v>
      </x:c>
      <x:c r="P90" s="9"/>
      <x:c r="Q90" s="6"/>
      <x:c r="R90" s="2" t="str">
        <x:v>https://www.themoviedb.org/movie/601</x:v>
      </x:c>
      <x:c r="S90" s="10" t="str">
        <x:v>Matched</x:v>
      </x:c>
    </x:row>
    <x:row r="91" ht="90" customHeight="1">
      <x:c r="A91" s="2" t="str">
        <x:v>Ever After (1998)</x:v>
      </x:c>
      <x:c r="B91" s="2" t="str">
        <x:v>Ever After</x:v>
      </x:c>
      <x:c r="C91" s="3" t="n">
        <x:v>1998</x:v>
      </x:c>
      <x:c r="D91" s="2" t="str">
        <x:v>Blu-ray</x:v>
      </x:c>
      <x:c r="E91" s="4"/>
      <x:c r="F91" s="3" t="n">
        <x:v>9454</x:v>
      </x:c>
      <x:c r="G91" s="5" t="n">
        <x:v>7.449</x:v>
      </x:c>
      <x:c r="H91" s="2" t="str">
        <x:v>Drama, Romance, Comedy</x:v>
      </x:c>
      <x:c r="I91" s="6" t="str">
        <x:v>/9TspO5dThMBioF0DFrvy6YqrngH.jpg</x:v>
      </x:c>
      <x:c r="J91" s="7" t="str">
        <x:v>https://image.tmdb.org/t/p/w342/9TspO5dThMBioF0DFrvy6YqrngH.jpg</x:v>
      </x:c>
      <x:c r="K91" s="3" t="e">
        <x:f>IMAGE(J91)</x:f>
      </x:c>
      <x:c r="L91" s="8" t="n">
        <x:v>121</x:v>
      </x:c>
      <x:c r="M91" s="46" t="str">
        <x:v>Danielle, a vibrant young woman, was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x:v>
      </x:c>
      <x:c r="N91" s="2" t="n">
        <x:v>36007</x:v>
      </x:c>
      <x:c r="O91" s="2" t="str">
        <x:v>Unwatched</x:v>
      </x:c>
      <x:c r="P91" s="9"/>
      <x:c r="Q91" s="6"/>
      <x:c r="R91" s="2" t="str">
        <x:v>https://www.themoviedb.org/movie/9454</x:v>
      </x:c>
      <x:c r="S91" s="10" t="str">
        <x:v>Matched</x:v>
      </x:c>
    </x:row>
    <x:row r="92" ht="90" customHeight="1">
      <x:c r="A92" s="2" t="str">
        <x:v>Evil Dead (2013)</x:v>
      </x:c>
      <x:c r="B92" s="2" t="str">
        <x:v>Evil Dead</x:v>
      </x:c>
      <x:c r="C92" s="3" t="n">
        <x:v>2013</x:v>
      </x:c>
      <x:c r="D92" s="2" t="str">
        <x:v>Blu-ray</x:v>
      </x:c>
      <x:c r="E92" s="4"/>
      <x:c r="F92" s="3" t="n">
        <x:v>109428</x:v>
      </x:c>
      <x:c r="G92" s="5" t="n">
        <x:v>6.6</x:v>
      </x:c>
      <x:c r="H92" s="2" t="str">
        <x:v>Horror</x:v>
      </x:c>
      <x:c r="I92" s="6" t="str">
        <x:v>/1gDV0Lm9y8ufIKzyf0h0GBgb9Zj.jpg</x:v>
      </x:c>
      <x:c r="J92" s="7" t="str">
        <x:v>https://image.tmdb.org/t/p/w342/1gDV0Lm9y8ufIKzyf0h0GBgb9Zj.jpg</x:v>
      </x:c>
      <x:c r="K92" s="3" t="e">
        <x:f>IMAGE(J92)</x:f>
      </x:c>
      <x:c r="L92" s="8" t="n">
        <x:v>91</x:v>
      </x:c>
      <x:c r="M92" s="46" t="str">
        <x:v>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x:v>
      </x:c>
      <x:c r="N92" s="2" t="n">
        <x:v>41369</x:v>
      </x:c>
      <x:c r="O92" s="2" t="str">
        <x:v>Unwatched</x:v>
      </x:c>
      <x:c r="P92" s="9"/>
      <x:c r="Q92" s="6"/>
      <x:c r="R92" s="2" t="str">
        <x:v>https://www.themoviedb.org/movie/109428</x:v>
      </x:c>
      <x:c r="S92" s="10" t="str">
        <x:v>Matched</x:v>
      </x:c>
    </x:row>
    <x:row r="93" ht="90" customHeight="1">
      <x:c r="A93" s="2" t="str">
        <x:v>Evil Dead II: Dead by Dawn (1987)</x:v>
      </x:c>
      <x:c r="B93" s="2" t="str">
        <x:v>Evil Dead II: Dead by Dawn</x:v>
      </x:c>
      <x:c r="C93" s="3" t="n">
        <x:v>1987</x:v>
      </x:c>
      <x:c r="D93" s="2" t="str">
        <x:v>Blu-ray</x:v>
      </x:c>
      <x:c r="E93" s="4"/>
      <x:c r="F93" s="3" t="n">
        <x:v>765</x:v>
      </x:c>
      <x:c r="G93" s="5" t="n">
        <x:v>7.542</x:v>
      </x:c>
      <x:c r="H93" s="2" t="str">
        <x:v>Horror, Comedy, Fantasy</x:v>
      </x:c>
      <x:c r="I93" s="6" t="str">
        <x:v>/4zqCKJVHUolGs6C5AZwAZqLWixW.jpg</x:v>
      </x:c>
      <x:c r="J93" s="7" t="str">
        <x:v>https://image.tmdb.org/t/p/w342/4zqCKJVHUolGs6C5AZwAZqLWixW.jpg</x:v>
      </x:c>
      <x:c r="K93" s="3" t="e">
        <x:f>IMAGE(J93)</x:f>
      </x:c>
      <x:c r="L93" s="8" t="n">
        <x:v>84</x:v>
      </x:c>
      <x:c r="M93" s="46" t="str">
        <x:v>Ash Williams and his girlfriend Linda find a log cabin in the woods with a voice recording from an archeologist who had recorded himself reciting ancient chants from "The Book of the Dead." As they play the recording an evil power is unleashed taking over Linda's body.</x:v>
      </x:c>
      <x:c r="N93" s="2" t="n">
        <x:v>31849</x:v>
      </x:c>
      <x:c r="O93" s="2" t="str">
        <x:v>Unwatched</x:v>
      </x:c>
      <x:c r="P93" s="9"/>
      <x:c r="Q93" s="6"/>
      <x:c r="R93" s="2" t="str">
        <x:v>https://www.themoviedb.org/movie/765</x:v>
      </x:c>
      <x:c r="S93" s="10" t="str">
        <x:v>Matched</x:v>
      </x:c>
    </x:row>
    <x:row r="94" ht="90" customHeight="1">
      <x:c r="A94" s="2" t="str">
        <x:v>Evil Dead Rise (2023)</x:v>
      </x:c>
      <x:c r="B94" s="2" t="str">
        <x:v>Evil Dead Rise</x:v>
      </x:c>
      <x:c r="C94" s="3" t="n">
        <x:v>2023</x:v>
      </x:c>
      <x:c r="D94" s="2" t="str">
        <x:v>Blu-ray</x:v>
      </x:c>
      <x:c r="E94" s="4"/>
      <x:c r="F94" s="3" t="n">
        <x:v>713704</x:v>
      </x:c>
      <x:c r="G94" s="5" t="n">
        <x:v>6.923</x:v>
      </x:c>
      <x:c r="H94" s="2" t="str">
        <x:v>Horror, Thriller</x:v>
      </x:c>
      <x:c r="I94" s="6" t="str">
        <x:v>/5ik4ATKmNtmJU6AYD0bLm56BCVM.jpg</x:v>
      </x:c>
      <x:c r="J94" s="7" t="str">
        <x:v>https://image.tmdb.org/t/p/w342/5ik4ATKmNtmJU6AYD0bLm56BCVM.jpg</x:v>
      </x:c>
      <x:c r="K94" s="3" t="e">
        <x:f>IMAGE(J94)</x:f>
      </x:c>
      <x:c r="L94" s="8" t="n">
        <x:v>96</x:v>
      </x:c>
      <x:c r="M94" s="46" t="str">
        <x:v>A reunion between two estranged sisters gets cut short by the rise of flesh-possessing demons, thrusting them into a primal battle for survival as they face the most nightmarish version of family imaginable.</x:v>
      </x:c>
      <x:c r="N94" s="2" t="n">
        <x:v>45028</x:v>
      </x:c>
      <x:c r="O94" s="2" t="str">
        <x:v>Unwatched</x:v>
      </x:c>
      <x:c r="P94" s="9"/>
      <x:c r="Q94" s="6"/>
      <x:c r="R94" s="2" t="str">
        <x:v>https://www.themoviedb.org/movie/713704</x:v>
      </x:c>
      <x:c r="S94" s="10" t="str">
        <x:v>Matched</x:v>
      </x:c>
    </x:row>
    <x:row r="95" ht="90" customHeight="1">
      <x:c r="A95" s="2" t="str">
        <x:v>Ex Machina (2015)</x:v>
      </x:c>
      <x:c r="B95" s="2" t="str">
        <x:v>Ex Machina</x:v>
      </x:c>
      <x:c r="C95" s="3" t="n">
        <x:v>2015</x:v>
      </x:c>
      <x:c r="D95" s="2" t="str">
        <x:v>Blu-ray</x:v>
      </x:c>
      <x:c r="E95" s="4"/>
      <x:c r="F95" s="3" t="n">
        <x:v>264660</x:v>
      </x:c>
      <x:c r="G95" s="5" t="n">
        <x:v>7.6</x:v>
      </x:c>
      <x:c r="H95" s="2" t="str">
        <x:v>Drama, Science Fiction</x:v>
      </x:c>
      <x:c r="I95" s="6" t="str">
        <x:v>/dmJW8IAKHKxFNiUnoDR7JfsK7Rp.jpg</x:v>
      </x:c>
      <x:c r="J95" s="7" t="str">
        <x:v>https://image.tmdb.org/t/p/w342/dmJW8IAKHKxFNiUnoDR7JfsK7Rp.jpg</x:v>
      </x:c>
      <x:c r="K95" s="3" t="e">
        <x:f>IMAGE(J95)</x:f>
      </x:c>
      <x:c r="L95" s="8" t="n">
        <x:v>108</x:v>
      </x:c>
      <x:c r="M95" s="46" t="str">
        <x: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x:v>
      </x:c>
      <x:c r="N95" s="2" t="n">
        <x:v>42025</x:v>
      </x:c>
      <x:c r="O95" s="2" t="str">
        <x:v>Unwatched</x:v>
      </x:c>
      <x:c r="P95" s="9"/>
      <x:c r="Q95" s="6"/>
      <x:c r="R95" s="2" t="str">
        <x:v>https://www.themoviedb.org/movie/264660</x:v>
      </x:c>
      <x:c r="S95" s="10" t="str">
        <x:v>Matched</x:v>
      </x:c>
    </x:row>
    <x:row r="96" ht="90" customHeight="1">
      <x:c r="A96" s="2" t="str">
        <x:v>The Exorcist (1973)</x:v>
      </x:c>
      <x:c r="B96" s="2" t="str">
        <x:v>The Exorcist</x:v>
      </x:c>
      <x:c r="C96" s="3" t="n">
        <x:v>1973</x:v>
      </x:c>
      <x:c r="D96" s="2" t="str">
        <x:v>Blu-ray</x:v>
      </x:c>
      <x:c r="E96" s="4"/>
      <x:c r="F96" s="3" t="n">
        <x:v>9552</x:v>
      </x:c>
      <x:c r="G96" s="5" t="n">
        <x:v>7.743</x:v>
      </x:c>
      <x:c r="H96" s="2" t="str">
        <x:v>Horror, Drama</x:v>
      </x:c>
      <x:c r="I96" s="6" t="str">
        <x:v>/5x0CeVHJI8tcDx8tUUwYHQSNILq.jpg</x:v>
      </x:c>
      <x:c r="J96" s="7" t="str">
        <x:v>https://image.tmdb.org/t/p/w342/5x0CeVHJI8tcDx8tUUwYHQSNILq.jpg</x:v>
      </x:c>
      <x:c r="K96" s="3" t="e">
        <x:f>IMAGE(J96)</x:f>
      </x:c>
      <x:c r="L96" s="8" t="n">
        <x:v>122</x:v>
      </x:c>
      <x:c r="M96" s="46" t="str">
        <x:v>When a mysterious entity possesses a young girl, her mother seeks the help of two Catholic priests to save her life.</x:v>
      </x:c>
      <x:c r="N96" s="2" t="n">
        <x:v>27024</x:v>
      </x:c>
      <x:c r="O96" s="2" t="str">
        <x:v>Unwatched</x:v>
      </x:c>
      <x:c r="P96" s="9"/>
      <x:c r="Q96" s="6"/>
      <x:c r="R96" s="2" t="str">
        <x:v>https://www.themoviedb.org/movie/9552</x:v>
      </x:c>
      <x:c r="S96" s="10" t="str">
        <x:v>Matched</x:v>
      </x:c>
    </x:row>
    <x:row r="97" ht="90" customHeight="1">
      <x:c r="A97" s="2" t="str">
        <x:v>The Exorcist III (1990)</x:v>
      </x:c>
      <x:c r="B97" s="2" t="str">
        <x:v>The Exorcist III</x:v>
      </x:c>
      <x:c r="C97" s="3" t="n">
        <x:v>1990</x:v>
      </x:c>
      <x:c r="D97" s="2" t="str">
        <x:v>Blu-ray</x:v>
      </x:c>
      <x:c r="E97" s="4"/>
      <x:c r="F97" s="3" t="n">
        <x:v>11587</x:v>
      </x:c>
      <x:c r="G97" s="5" t="n">
        <x:v>6.3</x:v>
      </x:c>
      <x:c r="H97" s="2" t="str">
        <x:v>Horror, Mystery</x:v>
      </x:c>
      <x:c r="I97" s="6" t="str">
        <x:v>/rhSftgj3vwpIDSP8v67N8KEubmz.jpg</x:v>
      </x:c>
      <x:c r="J97" s="7" t="str">
        <x:v>https://image.tmdb.org/t/p/w342/rhSftgj3vwpIDSP8v67N8KEubmz.jpg</x:v>
      </x:c>
      <x:c r="K97" s="3" t="e">
        <x:f>IMAGE(J97)</x:f>
      </x:c>
      <x:c r="L97" s="8" t="n">
        <x:v>110</x:v>
      </x:c>
      <x:c r="M97" s="46" t="str">
        <x:v>On the fifteenth anniversary of the exorcism that claimed Father Damien Karras' life, Police Lieutenant Kinderman's world is once again shattered when a boy is found decapitated and savagely crucified.</x:v>
      </x:c>
      <x:c r="N97" s="2" t="n">
        <x:v>33102</x:v>
      </x:c>
      <x:c r="O97" s="2" t="str">
        <x:v>Unwatched</x:v>
      </x:c>
      <x:c r="P97" s="9"/>
      <x:c r="Q97" s="6"/>
      <x:c r="R97" s="2" t="str">
        <x:v>https://www.themoviedb.org/movie/11587</x:v>
      </x:c>
      <x:c r="S97" s="10" t="str">
        <x:v>Matched</x:v>
      </x:c>
    </x:row>
    <x:row r="98" ht="90" customHeight="1">
      <x:c r="A98" s="2" t="str">
        <x:v>The Expendables (2010)</x:v>
      </x:c>
      <x:c r="B98" s="2" t="str">
        <x:v>The Expendables</x:v>
      </x:c>
      <x:c r="C98" s="3" t="n">
        <x:v>2010</x:v>
      </x:c>
      <x:c r="D98" s="2" t="str">
        <x:v>Blu-ray</x:v>
      </x:c>
      <x:c r="E98" s="4"/>
      <x:c r="F98" s="3" t="n">
        <x:v>27578</x:v>
      </x:c>
      <x:c r="G98" s="5" t="n">
        <x:v>6.251</x:v>
      </x:c>
      <x:c r="H98" s="2" t="str">
        <x:v>Thriller, Adventure, Action</x:v>
      </x:c>
      <x:c r="I98" s="6" t="str">
        <x:v>/j09ZkH6R4JWVylBcDai1laCmGw7.jpg</x:v>
      </x:c>
      <x:c r="J98" s="7" t="str">
        <x:v>https://image.tmdb.org/t/p/w342/j09ZkH6R4JWVylBcDai1laCmGw7.jpg</x:v>
      </x:c>
      <x:c r="K98" s="3" t="e">
        <x:f>IMAGE(J98)</x:f>
      </x:c>
      <x:c r="L98" s="8" t="n">
        <x:v>103</x:v>
      </x:c>
      <x:c r="M98" s="46" t="str">
        <x:v>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x:v>
      </x:c>
      <x:c r="N98" s="2" t="n">
        <x:v>40397</x:v>
      </x:c>
      <x:c r="O98" s="2" t="str">
        <x:v>Unwatched</x:v>
      </x:c>
      <x:c r="P98" s="9"/>
      <x:c r="Q98" s="6"/>
      <x:c r="R98" s="2" t="str">
        <x:v>https://www.themoviedb.org/movie/27578</x:v>
      </x:c>
      <x:c r="S98" s="10" t="str">
        <x:v>Matched</x:v>
      </x:c>
    </x:row>
    <x:row r="99" ht="90" customHeight="1">
      <x:c r="A99" s="2" t="str">
        <x:v>The Expendables 2 (2012)</x:v>
      </x:c>
      <x:c r="B99" s="2" t="str">
        <x:v>The Expendables 2</x:v>
      </x:c>
      <x:c r="C99" s="3" t="n">
        <x:v>2012</x:v>
      </x:c>
      <x:c r="D99" s="2" t="str">
        <x:v>Blu-ray</x:v>
      </x:c>
      <x:c r="E99" s="4"/>
      <x:c r="F99" s="3" t="n">
        <x:v>76163</x:v>
      </x:c>
      <x:c r="G99" s="5" t="n">
        <x:v>6.353</x:v>
      </x:c>
      <x:c r="H99" s="2" t="str">
        <x:v>Action, Adventure, Thriller</x:v>
      </x:c>
      <x:c r="I99" s="6" t="str">
        <x:v>/74rTIGyGoIu5KSxDVMdr8H3MtMo.jpg</x:v>
      </x:c>
      <x:c r="J99" s="7" t="str">
        <x:v>https://image.tmdb.org/t/p/w342/74rTIGyGoIu5KSxDVMdr8H3MtMo.jpg</x:v>
      </x:c>
      <x:c r="K99" s="3" t="e">
        <x:f>IMAGE(J99)</x:f>
      </x:c>
      <x:c r="L99" s="8" t="n">
        <x:v>103</x:v>
      </x:c>
      <x:c r="M99" s="46" t="str">
        <x:v>Mr. Church reunites the Expendables for what should be an easy paycheck, but when one of their men is murdered on the job, their quest for revenge puts them deep in enemy territory and up against an unexpected threat.</x:v>
      </x:c>
      <x:c r="N99" s="2" t="n">
        <x:v>41129</x:v>
      </x:c>
      <x:c r="O99" s="2" t="str">
        <x:v>Unwatched</x:v>
      </x:c>
      <x:c r="P99" s="9"/>
      <x:c r="Q99" s="6"/>
      <x:c r="R99" s="2" t="str">
        <x:v>https://www.themoviedb.org/movie/76163</x:v>
      </x:c>
      <x:c r="S99" s="10" t="str">
        <x:v>Matched</x:v>
      </x:c>
    </x:row>
    <x:row r="100" ht="90" customHeight="1">
      <x:c r="A100" s="2" t="str">
        <x:v>Eyes Wide Shut (1999)</x:v>
      </x:c>
      <x:c r="B100" s="2" t="str">
        <x:v>Eyes Wide Shut</x:v>
      </x:c>
      <x:c r="C100" s="3" t="n">
        <x:v>1999</x:v>
      </x:c>
      <x:c r="D100" s="2" t="str">
        <x:v>Blu-ray</x:v>
      </x:c>
      <x:c r="E100" s="4"/>
      <x:c r="F100" s="3" t="n">
        <x:v>345</x:v>
      </x:c>
      <x:c r="G100" s="5" t="n">
        <x:v>7.486</x:v>
      </x:c>
      <x:c r="H100" s="2" t="str">
        <x:v>Drama, Thriller, Mystery</x:v>
      </x:c>
      <x:c r="I100" s="6" t="str">
        <x:v>/knEIz1eNGl5MQDbrEAVWA7iRqF9.jpg</x:v>
      </x:c>
      <x:c r="J100" s="7" t="str">
        <x:v>https://image.tmdb.org/t/p/w342/knEIz1eNGl5MQDbrEAVWA7iRqF9.jpg</x:v>
      </x:c>
      <x:c r="K100" s="3" t="e">
        <x:f>IMAGE(J100)</x:f>
      </x:c>
      <x:c r="L100" s="8" t="n">
        <x:v>160</x:v>
      </x:c>
      <x:c r="M100" s="46" t="str">
        <x:v>After Dr. Bill Harford's wife, Alice, admits to having sexual fantasies about a man she met, Bill becomes obsessed with having a sexual encounter. He discovers an underground sexual group and attends one of their meetings -- and quickly discovers that he is in over his head.</x:v>
      </x:c>
      <x:c r="N100" s="2" t="n">
        <x:v>36357</x:v>
      </x:c>
      <x:c r="O100" s="2" t="str">
        <x:v>Unwatched</x:v>
      </x:c>
      <x:c r="P100" s="9"/>
      <x:c r="Q100" s="6"/>
      <x:c r="R100" s="2" t="str">
        <x:v>https://www.themoviedb.org/movie/345</x:v>
      </x:c>
      <x:c r="S100" s="10" t="str">
        <x:v>Matched</x:v>
      </x:c>
    </x:row>
    <x:row r="101" ht="90" customHeight="1">
      <x:c r="A101" s="2" t="str">
        <x:v>The First Purge (2018)</x:v>
      </x:c>
      <x:c r="B101" s="2" t="str">
        <x:v>The First Purge</x:v>
      </x:c>
      <x:c r="C101" s="3" t="n">
        <x:v>2018</x:v>
      </x:c>
      <x:c r="D101" s="2" t="str">
        <x:v>Blu-ray</x:v>
      </x:c>
      <x:c r="E101" s="4"/>
      <x:c r="F101" s="3" t="n">
        <x:v>442249</x:v>
      </x:c>
      <x:c r="G101" s="5" t="n">
        <x:v>6.002</x:v>
      </x:c>
      <x:c r="H101" s="2" t="str">
        <x:v>Action, Horror, Thriller</x:v>
      </x:c>
      <x:c r="I101" s="6" t="str">
        <x:v>/litjsBoiydO6JlO70uOX4N3WnNL.jpg</x:v>
      </x:c>
      <x:c r="J101" s="7" t="str">
        <x:v>https://image.tmdb.org/t/p/w342/litjsBoiydO6JlO70uOX4N3WnNL.jpg</x:v>
      </x:c>
      <x:c r="K101" s="3" t="e">
        <x:f>IMAGE(J101)</x:f>
      </x:c>
      <x:c r="L101" s="8" t="n">
        <x:v>97</x:v>
      </x:c>
      <x:c r="M101" s="46" t="str">
        <x: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x:v>
      </x:c>
      <x:c r="N101" s="2" t="n">
        <x:v>43285</x:v>
      </x:c>
      <x:c r="O101" s="2" t="str">
        <x:v>Unwatched</x:v>
      </x:c>
      <x:c r="P101" s="9"/>
      <x:c r="Q101" s="6"/>
      <x:c r="R101" s="2" t="str">
        <x:v>https://www.themoviedb.org/movie/442249</x:v>
      </x:c>
      <x:c r="S101" s="10" t="str">
        <x:v>Matched</x:v>
      </x:c>
    </x:row>
    <x:row r="102" ht="90" customHeight="1">
      <x:c r="A102" s="2" t="str">
        <x:v>Freddy vs. Jason (2003)</x:v>
      </x:c>
      <x:c r="B102" s="2" t="str">
        <x:v>Freddy vs. Jason</x:v>
      </x:c>
      <x:c r="C102" s="3" t="n">
        <x:v>2003</x:v>
      </x:c>
      <x:c r="D102" s="2" t="str">
        <x:v>Blu-ray</x:v>
      </x:c>
      <x:c r="E102" s="4"/>
      <x:c r="F102" s="3" t="n">
        <x:v>6466</x:v>
      </x:c>
      <x:c r="G102" s="5" t="n">
        <x:v>6.092</x:v>
      </x:c>
      <x:c r="H102" s="2" t="str">
        <x:v>Horror</x:v>
      </x:c>
      <x:c r="I102" s="6" t="str">
        <x:v>/f9ZASRUfl8Jlco7rgRx3ujPR0P7.jpg</x:v>
      </x:c>
      <x:c r="J102" s="7" t="str">
        <x:v>https://image.tmdb.org/t/p/w342/f9ZASRUfl8Jlco7rgRx3ujPR0P7.jpg</x:v>
      </x:c>
      <x:c r="K102" s="3" t="e">
        <x:f>IMAGE(J102)</x:f>
      </x:c>
      <x:c r="L102" s="8" t="n">
        <x:v>97</x:v>
      </x:c>
      <x:c r="M102" s="46" t="str">
        <x:v>Freddy Krueger and Jason Voorhees return to terrorize the teenagers of Elm Street. Only this time, they're out to get each other, too.</x:v>
      </x:c>
      <x:c r="N102" s="2" t="n">
        <x:v>37848</x:v>
      </x:c>
      <x:c r="O102" s="2" t="str">
        <x:v>Unwatched</x:v>
      </x:c>
      <x:c r="P102" s="9"/>
      <x:c r="Q102" s="6"/>
      <x:c r="R102" s="2" t="str">
        <x:v>https://www.themoviedb.org/movie/6466</x:v>
      </x:c>
      <x:c r="S102" s="10" t="str">
        <x:v>Matched</x:v>
      </x:c>
    </x:row>
    <x:row r="103" ht="90" customHeight="1">
      <x:c r="A103" s="2" t="str">
        <x:v>Freddy's Dead: The Final Nightmare (1991)</x:v>
      </x:c>
      <x:c r="B103" s="2" t="str">
        <x:v>Freddy's Dead: The Final Nightmare</x:v>
      </x:c>
      <x:c r="C103" s="3" t="n">
        <x:v>1991</x:v>
      </x:c>
      <x:c r="D103" s="2" t="str">
        <x:v>Blu-ray</x:v>
      </x:c>
      <x:c r="E103" s="4"/>
      <x:c r="F103" s="3" t="n">
        <x:v>11284</x:v>
      </x:c>
      <x:c r="G103" s="5" t="n">
        <x:v>5.3</x:v>
      </x:c>
      <x:c r="H103" s="2" t="str">
        <x:v>Horror, Thriller</x:v>
      </x:c>
      <x:c r="I103" s="6" t="str">
        <x:v>/e4qh58n2WaG4Gyh9VhjOUeN9Mhv.jpg</x:v>
      </x:c>
      <x:c r="J103" s="7" t="str">
        <x:v>https://image.tmdb.org/t/p/w342/e4qh58n2WaG4Gyh9VhjOUeN9Mhv.jpg</x:v>
      </x:c>
      <x:c r="K103" s="3" t="e">
        <x:f>IMAGE(J103)</x:f>
      </x:c>
      <x:c r="L103" s="8" t="n">
        <x:v>89</x:v>
      </x:c>
      <x:c r="M103" s="46" t="str">
        <x: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x:v>
      </x:c>
      <x:c r="N103" s="2" t="n">
        <x:v>33486</x:v>
      </x:c>
      <x:c r="O103" s="2" t="str">
        <x:v>Unwatched</x:v>
      </x:c>
      <x:c r="P103" s="9"/>
      <x:c r="Q103" s="6"/>
      <x:c r="R103" s="2" t="str">
        <x:v>https://www.themoviedb.org/movie/11284</x:v>
      </x:c>
      <x:c r="S103" s="10" t="str">
        <x:v>Matched</x:v>
      </x:c>
    </x:row>
    <x:row r="104" ht="90" customHeight="1">
      <x:c r="A104" s="2" t="str">
        <x:v>Friday the 13th (1980)</x:v>
      </x:c>
      <x:c r="B104" s="2" t="str">
        <x:v>Friday the 13th</x:v>
      </x:c>
      <x:c r="C104" s="3" t="n">
        <x:v>1980</x:v>
      </x:c>
      <x:c r="D104" s="2" t="str">
        <x:v>Blu-ray</x:v>
      </x:c>
      <x:c r="E104" s="4"/>
      <x:c r="F104" s="3" t="n">
        <x:v>4488</x:v>
      </x:c>
      <x:c r="G104" s="5" t="n">
        <x:v>6.398</x:v>
      </x:c>
      <x:c r="H104" s="2" t="str">
        <x:v>Horror</x:v>
      </x:c>
      <x:c r="I104" s="6" t="str">
        <x:v>/uGGpnWHOmWTARVN9wbC1nPxNgps.jpg</x:v>
      </x:c>
      <x:c r="J104" s="7" t="str">
        <x:v>https://image.tmdb.org/t/p/w342/uGGpnWHOmWTARVN9wbC1nPxNgps.jpg</x:v>
      </x:c>
      <x:c r="K104" s="3" t="e">
        <x:f>IMAGE(J104)</x:f>
      </x:c>
      <x:c r="L104" s="8" t="n">
        <x:v>95</x:v>
      </x:c>
      <x:c r="M104" s="46" t="str">
        <x:v>Camp counselors are stalked and murdered by an unknown assailant while trying to reopen a summer camp that was the site of a child's drowning.</x:v>
      </x:c>
      <x:c r="N104" s="2" t="n">
        <x:v>29350</x:v>
      </x:c>
      <x:c r="O104" s="2" t="str">
        <x:v>Unwatched</x:v>
      </x:c>
      <x:c r="P104" s="9"/>
      <x:c r="Q104" s="6"/>
      <x:c r="R104" s="2" t="str">
        <x:v>https://www.themoviedb.org/movie/4488</x:v>
      </x:c>
      <x:c r="S104" s="10" t="str">
        <x:v>Matched</x:v>
      </x:c>
    </x:row>
    <x:row r="105" ht="90" customHeight="1">
      <x:c r="A105" s="2" t="str">
        <x:v>Friday the 13th (2009)</x:v>
      </x:c>
      <x:c r="B105" s="2" t="str">
        <x:v>Friday the 13th</x:v>
      </x:c>
      <x:c r="C105" s="3" t="n">
        <x:v>2009</x:v>
      </x:c>
      <x:c r="D105" s="2" t="str">
        <x:v>Blu-ray</x:v>
      </x:c>
      <x:c r="E105" s="4"/>
      <x:c r="F105" s="3" t="n">
        <x:v>13207</x:v>
      </x:c>
      <x:c r="G105" s="5" t="n">
        <x:v>5.771</x:v>
      </x:c>
      <x:c r="H105" s="2" t="str">
        <x:v>Horror, Thriller</x:v>
      </x:c>
      <x:c r="I105" s="6" t="str">
        <x:v>/88wlJ4teYlck4hJ2bnlxBrAVh0m.jpg</x:v>
      </x:c>
      <x:c r="J105" s="7" t="str">
        <x:v>https://image.tmdb.org/t/p/w342/88wlJ4teYlck4hJ2bnlxBrAVh0m.jpg</x:v>
      </x:c>
      <x:c r="K105" s="3" t="e">
        <x:f>IMAGE(J105)</x:f>
      </x:c>
      <x:c r="L105" s="8" t="n">
        <x:v>97</x:v>
      </x:c>
      <x:c r="M105" s="46" t="str">
        <x:v>A group of young adults visit a boarded up campsite named Crystal Lake where they soon encounter the mysterious Jason Voorhees and his deadly intentions.</x:v>
      </x:c>
      <x:c r="N105" s="2" t="n">
        <x:v>39855</x:v>
      </x:c>
      <x:c r="O105" s="2" t="str">
        <x:v>Unwatched</x:v>
      </x:c>
      <x:c r="P105" s="9"/>
      <x:c r="Q105" s="6"/>
      <x:c r="R105" s="2" t="str">
        <x:v>https://www.themoviedb.org/movie/13207</x:v>
      </x:c>
      <x:c r="S105" s="10" t="str">
        <x:v>Matched</x:v>
      </x:c>
    </x:row>
    <x:row r="106" ht="90" customHeight="1">
      <x:c r="A106" s="2" t="str">
        <x:v>Friday the 13th Part III (1982)</x:v>
      </x:c>
      <x:c r="B106" s="2" t="str">
        <x:v>Friday the 13th Part III</x:v>
      </x:c>
      <x:c r="C106" s="3" t="n">
        <x:v>1982</x:v>
      </x:c>
      <x:c r="D106" s="2" t="str">
        <x:v>Blu-ray</x:v>
      </x:c>
      <x:c r="E106" s="4"/>
      <x:c r="F106" s="3" t="n">
        <x:v>9728</x:v>
      </x:c>
      <x:c r="G106" s="5" t="n">
        <x:v>5.9</x:v>
      </x:c>
      <x:c r="H106" s="2" t="str">
        <x:v>Horror, Thriller</x:v>
      </x:c>
      <x:c r="I106" s="6" t="str">
        <x:v>/9kukTSlgFgXnQGdpcHvHcpTDiUc.jpg</x:v>
      </x:c>
      <x:c r="J106" s="7" t="str">
        <x:v>https://image.tmdb.org/t/p/w342/9kukTSlgFgXnQGdpcHvHcpTDiUc.jpg</x:v>
      </x:c>
      <x:c r="K106" s="3" t="e">
        <x:f>IMAGE(J106)</x:f>
      </x:c>
      <x:c r="L106" s="8" t="n">
        <x:v>95</x:v>
      </x:c>
      <x:c r="M106" s="46" t="str">
        <x:v>An idyllic summer turns into a nightmare of unspeakable terror for yet another group of naïve friends. Ignoring Camp Crystal Lake's bloody legacy, one by one they fall victim to the maniacal Jason, who stalks them at every turn...</x:v>
      </x:c>
      <x:c r="N106" s="2" t="n">
        <x:v>30176</x:v>
      </x:c>
      <x:c r="O106" s="2" t="str">
        <x:v>Unwatched</x:v>
      </x:c>
      <x:c r="P106" s="9"/>
      <x:c r="Q106" s="6"/>
      <x:c r="R106" s="2" t="str">
        <x:v>https://www.themoviedb.org/movie/9728</x:v>
      </x:c>
      <x:c r="S106" s="10" t="str">
        <x:v>Matched</x:v>
      </x:c>
    </x:row>
    <x:row r="107" ht="90" customHeight="1">
      <x:c r="A107" s="2" t="str">
        <x:v>Friday the 13th: Part 2 (1981)</x:v>
      </x:c>
      <x:c r="B107" s="2" t="str">
        <x:v>Friday the 13th: Part 2</x:v>
      </x:c>
      <x:c r="C107" s="3" t="n">
        <x:v>1981</x:v>
      </x:c>
      <x:c r="D107" s="2" t="str">
        <x:v>Blu-ray</x:v>
      </x:c>
      <x:c r="E107" s="4"/>
      <x:c r="F107" s="3" t="n">
        <x:v>9725</x:v>
      </x:c>
      <x:c r="G107" s="5" t="n">
        <x:v>6.193</x:v>
      </x:c>
      <x:c r="H107" s="2" t="str">
        <x:v>Horror, Thriller</x:v>
      </x:c>
      <x:c r="I107" s="6" t="str">
        <x:v>/92rGctBMTv4uaSlIBVnhz01kRWL.jpg</x:v>
      </x:c>
      <x:c r="J107" s="7" t="str">
        <x:v>https://image.tmdb.org/t/p/w342/92rGctBMTv4uaSlIBVnhz01kRWL.jpg</x:v>
      </x:c>
      <x:c r="K107" s="3" t="e">
        <x:f>IMAGE(J107)</x:f>
      </x:c>
      <x:c r="L107" s="8" t="n">
        <x:v>86</x:v>
      </x:c>
      <x:c r="M107" s="46" t="str">
        <x:v>Five years after the horrible bloodbath at Camp Crystal Lake, new counselors roam the area, not sensing the ominous lurking presence that proves that the grisly legend is real.</x:v>
      </x:c>
      <x:c r="N107" s="2" t="n">
        <x:v>29707</x:v>
      </x:c>
      <x:c r="O107" s="2" t="str">
        <x:v>Unwatched</x:v>
      </x:c>
      <x:c r="P107" s="9"/>
      <x:c r="Q107" s="6"/>
      <x:c r="R107" s="2" t="str">
        <x:v>https://www.themoviedb.org/movie/9725</x:v>
      </x:c>
      <x:c r="S107" s="10" t="str">
        <x:v>Matched</x:v>
      </x:c>
    </x:row>
    <x:row r="108" ht="90" customHeight="1">
      <x:c r="A108" s="2" t="str">
        <x:v>Friday the 13th: Part V - A New Beginning (1985)</x:v>
      </x:c>
      <x:c r="B108" s="2" t="str">
        <x:v>Friday the 13th: Part V - A New Beginning</x:v>
      </x:c>
      <x:c r="C108" s="3" t="n">
        <x:v>1985</x:v>
      </x:c>
      <x:c r="D108" s="2" t="str">
        <x:v>Blu-ray</x:v>
      </x:c>
      <x:c r="E108" s="4"/>
      <x:c r="F108" s="3" t="n">
        <x:v>9731</x:v>
      </x:c>
      <x:c r="G108" s="5" t="n">
        <x:v>5.3</x:v>
      </x:c>
      <x:c r="H108" s="2" t="str">
        <x:v>Horror, Thriller</x:v>
      </x:c>
      <x:c r="I108" s="6" t="str">
        <x:v>/ewnIs4aCuWnKQ13Eaj8f3ybrQc8.jpg</x:v>
      </x:c>
      <x:c r="J108" s="7" t="str">
        <x:v>https://image.tmdb.org/t/p/w342/ewnIs4aCuWnKQ13Eaj8f3ybrQc8.jpg</x:v>
      </x:c>
      <x:c r="K108" s="3" t="e">
        <x:f>IMAGE(J108)</x:f>
      </x:c>
      <x:c r="L108" s="8" t="n">
        <x:v>92</x:v>
      </x:c>
      <x:c r="M108" s="46" t="str">
        <x:v>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x:v>
      </x:c>
      <x:c r="N108" s="2" t="n">
        <x:v>31128</x:v>
      </x:c>
      <x:c r="O108" s="2" t="str">
        <x:v>Unwatched</x:v>
      </x:c>
      <x:c r="P108" s="9"/>
      <x:c r="Q108" s="6"/>
      <x:c r="R108" s="2" t="str">
        <x:v>https://www.themoviedb.org/movie/9731</x:v>
      </x:c>
      <x:c r="S108" s="10" t="str">
        <x:v>Matched</x:v>
      </x:c>
    </x:row>
    <x:row r="109" ht="90" customHeight="1">
      <x:c r="A109" s="2" t="str">
        <x:v>Friday the 13th: Part VI - Jason Lives (1986)</x:v>
      </x:c>
      <x:c r="B109" s="2" t="str">
        <x:v>Friday the 13th: Part VI - Jason Lives</x:v>
      </x:c>
      <x:c r="C109" s="3" t="n">
        <x:v>1986</x:v>
      </x:c>
      <x:c r="D109" s="2" t="str">
        <x:v>Blu-ray</x:v>
      </x:c>
      <x:c r="E109" s="4"/>
      <x:c r="F109" s="3" t="n">
        <x:v>10225</x:v>
      </x:c>
      <x:c r="G109" s="5" t="n">
        <x:v>6.256</x:v>
      </x:c>
      <x:c r="H109" s="2" t="str">
        <x:v>Horror, Thriller</x:v>
      </x:c>
      <x:c r="I109" s="6" t="str">
        <x:v>/6vdUpHvkspQonXBdWcLWW5ciEPJ.jpg</x:v>
      </x:c>
      <x:c r="J109" s="7" t="str">
        <x:v>https://image.tmdb.org/t/p/w342/6vdUpHvkspQonXBdWcLWW5ciEPJ.jpg</x:v>
      </x:c>
      <x:c r="K109" s="3" t="e">
        <x:f>IMAGE(J109)</x:f>
      </x:c>
      <x:c r="L109" s="8" t="n">
        <x:v>86</x:v>
      </x:c>
      <x:c r="M109" s="46" t="str">
        <x:v>Tommy Jarvis, tormented by the fear that maybe Jason isn't really dead, unwittingly resurrects the mass murderer for another bloody rampage.</x:v>
      </x:c>
      <x:c r="N109" s="2" t="n">
        <x:v>31625</x:v>
      </x:c>
      <x:c r="O109" s="2" t="str">
        <x:v>Unwatched</x:v>
      </x:c>
      <x:c r="P109" s="9"/>
      <x:c r="Q109" s="6"/>
      <x:c r="R109" s="2" t="str">
        <x:v>https://www.themoviedb.org/movie/10225</x:v>
      </x:c>
      <x:c r="S109" s="10" t="str">
        <x:v>Matched</x:v>
      </x:c>
    </x:row>
    <x:row r="110" ht="90" customHeight="1">
      <x:c r="A110" s="2" t="str">
        <x:v>Friday the 13th: Part VII - The New Blood (1988)</x:v>
      </x:c>
      <x:c r="B110" s="2" t="str">
        <x:v>Friday the 13th: Part VII - The New Blood</x:v>
      </x:c>
      <x:c r="C110" s="3" t="n">
        <x:v>1988</x:v>
      </x:c>
      <x:c r="D110" s="2" t="str">
        <x:v>Blu-ray</x:v>
      </x:c>
      <x:c r="E110" s="4"/>
      <x:c r="F110" s="3" t="n">
        <x:v>10281</x:v>
      </x:c>
      <x:c r="G110" s="5" t="n">
        <x:v>5.479</x:v>
      </x:c>
      <x:c r="H110" s="2" t="str">
        <x:v>Horror, Thriller</x:v>
      </x:c>
      <x:c r="I110" s="6" t="str">
        <x:v>/rUzk9Qnyz2FZGxHMBrq6DYIQZkO.jpg</x:v>
      </x:c>
      <x:c r="J110" s="7" t="str">
        <x:v>https://image.tmdb.org/t/p/w342/rUzk9Qnyz2FZGxHMBrq6DYIQZkO.jpg</x:v>
      </x:c>
      <x:c r="K110" s="3" t="e">
        <x:f>IMAGE(J110)</x:f>
      </x:c>
      <x:c r="L110" s="8" t="n">
        <x:v>88</x:v>
      </x:c>
      <x:c r="M110" s="46" t="str">
        <x:v>Tina Shepard, a telekinetic teenage girl, accidentally unchains Jason from his watery grave, allowing him to go on another killing spree in the area.</x:v>
      </x:c>
      <x:c r="N110" s="2" t="n">
        <x:v>32276</x:v>
      </x:c>
      <x:c r="O110" s="2" t="str">
        <x:v>Unwatched</x:v>
      </x:c>
      <x:c r="P110" s="9"/>
      <x:c r="Q110" s="6"/>
      <x:c r="R110" s="2" t="str">
        <x:v>https://www.themoviedb.org/movie/10281</x:v>
      </x:c>
      <x:c r="S110" s="10" t="str">
        <x:v>Matched</x:v>
      </x:c>
    </x:row>
    <x:row r="111" ht="90" customHeight="1">
      <x:c r="A111" s="2" t="str">
        <x:v>Friday the 13th: Part VIII - Jason Takes Manhattan (1989)</x:v>
      </x:c>
      <x:c r="B111" s="2" t="str">
        <x:v>Friday the 13th: Part VIII - Jason Takes Manhattan</x:v>
      </x:c>
      <x:c r="C111" s="3" t="n">
        <x:v>1989</x:v>
      </x:c>
      <x:c r="D111" s="2" t="str">
        <x:v>Blu-ray</x:v>
      </x:c>
      <x:c r="E111" s="4"/>
      <x:c r="F111" s="3" t="n">
        <x:v>10283</x:v>
      </x:c>
      <x:c r="G111" s="5" t="n">
        <x:v>4.937</x:v>
      </x:c>
      <x:c r="H111" s="2" t="str">
        <x:v>Horror, Thriller</x:v>
      </x:c>
      <x:c r="I111" s="6" t="str">
        <x:v>/6ezOsZ9UzqGnbDokaatxdOWP6e9.jpg</x:v>
      </x:c>
      <x:c r="J111" s="7" t="str">
        <x:v>https://image.tmdb.org/t/p/w342/6ezOsZ9UzqGnbDokaatxdOWP6e9.jpg</x:v>
      </x:c>
      <x:c r="K111" s="3" t="e">
        <x:f>IMAGE(J111)</x:f>
      </x:c>
      <x:c r="L111" s="8" t="n">
        <x:v>100</x:v>
      </x:c>
      <x:c r="M111" s="46" t="str">
        <x:v>Jason ships out aboard a teen-filled "love boat" bound for New York, which he soon transforms into the ultimate voyage of the damned.</x:v>
      </x:c>
      <x:c r="N111" s="2" t="n">
        <x:v>32717</x:v>
      </x:c>
      <x:c r="O111" s="2" t="str">
        <x:v>Unwatched</x:v>
      </x:c>
      <x:c r="P111" s="9"/>
      <x:c r="Q111" s="6"/>
      <x:c r="R111" s="2" t="str">
        <x:v>https://www.themoviedb.org/movie/10283</x:v>
      </x:c>
      <x:c r="S111" s="10" t="str">
        <x:v>Matched</x:v>
      </x:c>
    </x:row>
    <x:row r="112" ht="90" customHeight="1">
      <x:c r="A112" s="2" t="str">
        <x:v>Friday the 13th: The Final Chapter (1984)</x:v>
      </x:c>
      <x:c r="B112" s="2" t="str">
        <x:v>Friday the 13th: The Final Chapter</x:v>
      </x:c>
      <x:c r="C112" s="3" t="n">
        <x:v>1984</x:v>
      </x:c>
      <x:c r="D112" s="2" t="str">
        <x:v>Blu-ray</x:v>
      </x:c>
      <x:c r="E112" s="4"/>
      <x:c r="F112" s="3" t="n">
        <x:v>9730</x:v>
      </x:c>
      <x:c r="G112" s="5" t="n">
        <x:v>6.1</x:v>
      </x:c>
      <x:c r="H112" s="2" t="str">
        <x:v>Horror</x:v>
      </x:c>
      <x:c r="I112" s="6" t="str">
        <x:v>/1J7zudfR3VLPwAf9lK5YPfSu0n6.jpg</x:v>
      </x:c>
      <x:c r="J112" s="7" t="str">
        <x:v>https://image.tmdb.org/t/p/w342/1J7zudfR3VLPwAf9lK5YPfSu0n6.jpg</x:v>
      </x:c>
      <x:c r="K112" s="3" t="e">
        <x:f>IMAGE(J112)</x:f>
      </x:c>
      <x:c r="L112" s="8" t="n">
        <x:v>91</x:v>
      </x:c>
      <x:c r="M112" s="46" t="str">
        <x:v>After his revival in a hospital morgue, Jason fixes his vengeful attention on the Jarvis family and a group of hitherto carefree teenagers.</x:v>
      </x:c>
      <x:c r="N112" s="2" t="n">
        <x:v>30785</x:v>
      </x:c>
      <x:c r="O112" s="2" t="str">
        <x:v>Unwatched</x:v>
      </x:c>
      <x:c r="P112" s="9"/>
      <x:c r="Q112" s="6"/>
      <x:c r="R112" s="2" t="str">
        <x:v>https://www.themoviedb.org/movie/9730</x:v>
      </x:c>
      <x:c r="S112" s="10" t="str">
        <x:v>Matched</x:v>
      </x:c>
    </x:row>
    <x:row r="113" ht="90" customHeight="1">
      <x:c r="A113" s="2" t="str">
        <x:v>Friends with Benefits (2011)</x:v>
      </x:c>
      <x:c r="B113" s="2" t="str">
        <x:v>Friends with Benefits</x:v>
      </x:c>
      <x:c r="C113" s="3" t="n">
        <x:v>2011</x:v>
      </x:c>
      <x:c r="D113" s="2" t="str">
        <x:v>Blu-ray</x:v>
      </x:c>
      <x:c r="E113" s="4"/>
      <x:c r="F113" s="3" t="n">
        <x:v>50544</x:v>
      </x:c>
      <x:c r="G113" s="5" t="n">
        <x:v>6.6</x:v>
      </x:c>
      <x:c r="H113" s="2" t="str">
        <x:v>Romance, Comedy</x:v>
      </x:c>
      <x:c r="I113" s="6" t="str">
        <x:v>/nKhhDFCdzxeJ3GUunQ570LDpUkz.jpg</x:v>
      </x:c>
      <x:c r="J113" s="7" t="str">
        <x:v>https://image.tmdb.org/t/p/w342/nKhhDFCdzxeJ3GUunQ570LDpUkz.jpg</x:v>
      </x:c>
      <x:c r="K113" s="3" t="e">
        <x:f>IMAGE(J113)</x:f>
      </x:c>
      <x:c r="L113" s="8" t="n">
        <x:v>109</x:v>
      </x:c>
      <x:c r="M113" s="46" t="str">
        <x:v>Dylan is done with relationships. Jamie decides to stop buying into the Hollywood clichés of true love. When the two become friends they decide to try something new and take advantage of their mutual attraction - but without any emotional attachment.</x:v>
      </x:c>
      <x:c r="N113" s="2" t="n">
        <x:v>40745</x:v>
      </x:c>
      <x:c r="O113" s="2" t="str">
        <x:v>Unwatched</x:v>
      </x:c>
      <x:c r="P113" s="9"/>
      <x:c r="Q113" s="6"/>
      <x:c r="R113" s="2" t="str">
        <x:v>https://www.themoviedb.org/movie/50544</x:v>
      </x:c>
      <x:c r="S113" s="10" t="str">
        <x:v>Matched</x:v>
      </x:c>
    </x:row>
    <x:row r="114" ht="90" customHeight="1">
      <x:c r="A114" s="2" t="str">
        <x:v>Frontier(s) (2007)</x:v>
      </x:c>
      <x:c r="B114" s="2" t="str">
        <x:v>Frontier(s)</x:v>
      </x:c>
      <x:c r="C114" s="3" t="n">
        <x:v>2007</x:v>
      </x:c>
      <x:c r="D114" s="2" t="str">
        <x:v>Blu-ray</x:v>
      </x:c>
      <x:c r="E114" s="4"/>
      <x:c r="F114" s="3" t="n">
        <x:v>13492</x:v>
      </x:c>
      <x:c r="G114" s="5" t="n">
        <x:v>6.172</x:v>
      </x:c>
      <x:c r="H114" s="2" t="str">
        <x:v>Drama, Horror, Action, Thriller</x:v>
      </x:c>
      <x:c r="I114" s="6" t="str">
        <x:v>/6GISAjE0XiSucmzXIhb1tdnV2yC.jpg</x:v>
      </x:c>
      <x:c r="J114" s="7" t="str">
        <x:v>https://image.tmdb.org/t/p/w342/6GISAjE0XiSucmzXIhb1tdnV2yC.jpg</x:v>
      </x:c>
      <x:c r="K114" s="3" t="e">
        <x:f>IMAGE(J114)</x:f>
      </x:c>
      <x:c r="L114" s="8" t="n">
        <x:v>108</x:v>
      </x:c>
      <x:c r="M114" s="46" t="str">
        <x:v>A gang of young thieves flee Paris during the violent aftermath of a political election, only to hole up at an Inn run by neo-Nazis.</x:v>
      </x:c>
      <x:c r="N114" s="2" t="n">
        <x:v>39264</x:v>
      </x:c>
      <x:c r="O114" s="2" t="str">
        <x:v>Unwatched</x:v>
      </x:c>
      <x:c r="P114" s="9"/>
      <x:c r="Q114" s="6"/>
      <x:c r="R114" s="2" t="str">
        <x:v>https://www.themoviedb.org/movie/13492</x:v>
      </x:c>
      <x:c r="S114" s="10" t="str">
        <x:v>Matched</x:v>
      </x:c>
    </x:row>
    <x:row r="115" ht="90" customHeight="1">
      <x:c r="A115" s="2" t="str">
        <x:v>Funny Games (1997)</x:v>
      </x:c>
      <x:c r="B115" s="2" t="str">
        <x:v>Funny Games</x:v>
      </x:c>
      <x:c r="C115" s="3" t="n">
        <x:v>1997</x:v>
      </x:c>
      <x:c r="D115" s="2" t="str">
        <x:v>Blu-ray</x:v>
      </x:c>
      <x:c r="E115" s="4"/>
      <x:c r="F115" s="3" t="n">
        <x:v>10234</x:v>
      </x:c>
      <x:c r="G115" s="5" t="n">
        <x:v>7.3</x:v>
      </x:c>
      <x:c r="H115" s="2" t="str">
        <x:v>Drama, Horror, Thriller</x:v>
      </x:c>
      <x:c r="I115" s="6" t="str">
        <x:v>/vUJxLlRGM6KfXQDeAHqyMyhrI59.jpg</x:v>
      </x:c>
      <x:c r="J115" s="7" t="str">
        <x:v>https://image.tmdb.org/t/p/w342/vUJxLlRGM6KfXQDeAHqyMyhrI59.jpg</x:v>
      </x:c>
      <x:c r="K115" s="3" t="e">
        <x:f>IMAGE(J115)</x:f>
      </x:c>
      <x:c r="L115" s="8" t="n">
        <x:v>109</x:v>
      </x:c>
      <x:c r="M115" s="46" t="str">
        <x:v>Two psychotic young men take a mother, father, and son hostage in their vacation cabin and force them to play sadistic "games" with one another for their own amusement.</x:v>
      </x:c>
      <x:c r="N115" s="2" t="n">
        <x:v>35684</x:v>
      </x:c>
      <x:c r="O115" s="2" t="str">
        <x:v>Unwatched</x:v>
      </x:c>
      <x:c r="P115" s="9"/>
      <x:c r="Q115" s="6"/>
      <x:c r="R115" s="2" t="str">
        <x:v>https://www.themoviedb.org/movie/10234</x:v>
      </x:c>
      <x:c r="S115" s="10" t="str">
        <x:v>Matched</x:v>
      </x:c>
    </x:row>
    <x:row r="116" ht="90" customHeight="1">
      <x:c r="A116" s="2" t="str">
        <x:v>Funny People (2009)</x:v>
      </x:c>
      <x:c r="B116" s="2" t="str">
        <x:v>Funny People</x:v>
      </x:c>
      <x:c r="C116" s="3" t="n">
        <x:v>2009</x:v>
      </x:c>
      <x:c r="D116" s="2" t="str">
        <x:v>Blu-ray</x:v>
      </x:c>
      <x:c r="E116" s="4"/>
      <x:c r="F116" s="3" t="n">
        <x:v>20829</x:v>
      </x:c>
      <x:c r="G116" s="5" t="n">
        <x:v>5.89</x:v>
      </x:c>
      <x:c r="H116" s="2" t="str">
        <x:v>Comedy, Drama</x:v>
      </x:c>
      <x:c r="I116" s="6" t="str">
        <x:v>/gEYKD5cWCBGg8Za3hhwDBk3gEsP.jpg</x:v>
      </x:c>
      <x:c r="J116" s="7" t="str">
        <x:v>https://image.tmdb.org/t/p/w342/gEYKD5cWCBGg8Za3hhwDBk3gEsP.jpg</x:v>
      </x:c>
      <x:c r="K116" s="3" t="e">
        <x:f>IMAGE(J116)</x:f>
      </x:c>
      <x:c r="L116" s="8" t="n">
        <x:v>146</x:v>
      </x:c>
      <x:c r="M116" s="46" t="str">
        <x:v>Famous and wealthy funnyman George Simmons doesn't give much thought to how he treats people until a doctor delivers stunning health news, forcing George to reevaluate his priorities with a little help from aspiring stand-up comic Ira.</x:v>
      </x:c>
      <x:c r="N116" s="2" t="n">
        <x:v>40024</x:v>
      </x:c>
      <x:c r="O116" s="2" t="str">
        <x:v>Unwatched</x:v>
      </x:c>
      <x:c r="P116" s="9"/>
      <x:c r="Q116" s="6"/>
      <x:c r="R116" s="2" t="str">
        <x:v>https://www.themoviedb.org/movie/20829</x:v>
      </x:c>
      <x:c r="S116" s="10" t="str">
        <x:v>Matched</x:v>
      </x:c>
    </x:row>
    <x:row r="117" ht="90" customHeight="1">
      <x:c r="A117" s="2" t="str">
        <x:v>Fury (2014)</x:v>
      </x:c>
      <x:c r="B117" s="2" t="str">
        <x:v>Fury</x:v>
      </x:c>
      <x:c r="C117" s="3" t="n">
        <x:v>2014</x:v>
      </x:c>
      <x:c r="D117" s="2" t="str">
        <x:v>Blu-ray</x:v>
      </x:c>
      <x:c r="E117" s="4"/>
      <x:c r="F117" s="3" t="n">
        <x:v>228150</x:v>
      </x:c>
      <x:c r="G117" s="5" t="n">
        <x:v>7.544</x:v>
      </x:c>
      <x:c r="H117" s="2" t="str">
        <x:v>War, Drama, Action</x:v>
      </x:c>
      <x:c r="I117" s="6" t="str">
        <x:v>/pfte7wdMobMF4CVHuOxyu6oqeeA.jpg</x:v>
      </x:c>
      <x:c r="J117" s="7" t="str">
        <x:v>https://image.tmdb.org/t/p/w342/pfte7wdMobMF4CVHuOxyu6oqeeA.jpg</x:v>
      </x:c>
      <x:c r="K117" s="3" t="e">
        <x:f>IMAGE(J117)</x:f>
      </x:c>
      <x:c r="L117" s="8" t="n">
        <x:v>135</x:v>
      </x:c>
      <x:c r="M117" s="46" t="str">
        <x:v>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x:v>
      </x:c>
      <x:c r="N117" s="2" t="n">
        <x:v>41927</x:v>
      </x:c>
      <x:c r="O117" s="2" t="str">
        <x:v>Unwatched</x:v>
      </x:c>
      <x:c r="P117" s="9"/>
      <x:c r="Q117" s="6"/>
      <x:c r="R117" s="2" t="str">
        <x:v>https://www.themoviedb.org/movie/228150</x:v>
      </x:c>
      <x:c r="S117" s="10" t="str">
        <x:v>Matched</x:v>
      </x:c>
    </x:row>
    <x:row r="118" ht="90" customHeight="1">
      <x:c r="A118" s="2" t="str">
        <x:v>Get Hard (2015)</x:v>
      </x:c>
      <x:c r="B118" s="2" t="str">
        <x:v>Get Hard</x:v>
      </x:c>
      <x:c r="C118" s="3" t="n">
        <x:v>2015</x:v>
      </x:c>
      <x:c r="D118" s="2" t="str">
        <x:v>Blu-ray</x:v>
      </x:c>
      <x:c r="E118" s="4"/>
      <x:c r="F118" s="3" t="n">
        <x:v>257091</x:v>
      </x:c>
      <x:c r="G118" s="5" t="n">
        <x:v>6.021</x:v>
      </x:c>
      <x:c r="H118" s="2" t="str">
        <x:v>Comedy</x:v>
      </x:c>
      <x:c r="I118" s="6" t="str">
        <x:v>/rJPbS2cYOYhDCjT5NmW1Fm6gFl3.jpg</x:v>
      </x:c>
      <x:c r="J118" s="7" t="str">
        <x:v>https://image.tmdb.org/t/p/w342/rJPbS2cYOYhDCjT5NmW1Fm6gFl3.jpg</x:v>
      </x:c>
      <x:c r="K118" s="3" t="e">
        <x:f>IMAGE(J118)</x:f>
      </x:c>
      <x:c r="L118" s="8" t="n">
        <x:v>100</x:v>
      </x:c>
      <x:c r="M118" s="46" t="str">
        <x:v>When millionaire hedge 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x:v>
      </x:c>
      <x:c r="N118" s="2" t="n">
        <x:v>42089</x:v>
      </x:c>
      <x:c r="O118" s="2" t="str">
        <x:v>Unwatched</x:v>
      </x:c>
      <x:c r="P118" s="9"/>
      <x:c r="Q118" s="6"/>
      <x:c r="R118" s="2" t="str">
        <x:v>https://www.themoviedb.org/movie/257091</x:v>
      </x:c>
      <x:c r="S118" s="10" t="str">
        <x:v>Matched</x:v>
      </x:c>
    </x:row>
    <x:row r="119" ht="90" customHeight="1">
      <x:c r="A119" s="2" t="str">
        <x:v>Ghost Ship (2002)</x:v>
      </x:c>
      <x:c r="B119" s="2" t="str">
        <x:v>Ghost Ship</x:v>
      </x:c>
      <x:c r="C119" s="3" t="n">
        <x:v>2002</x:v>
      </x:c>
      <x:c r="D119" s="2" t="str">
        <x:v>Blu-ray</x:v>
      </x:c>
      <x:c r="E119" s="4"/>
      <x:c r="F119" s="3" t="n">
        <x:v>9645</x:v>
      </x:c>
      <x:c r="G119" s="5" t="n">
        <x:v>6</x:v>
      </x:c>
      <x:c r="H119" s="2" t="str">
        <x:v>Horror, Mystery, Thriller</x:v>
      </x:c>
      <x:c r="I119" s="6" t="str">
        <x:v>/kIlzZJqV4SCGHrrjoGLBhmsO7z2.jpg</x:v>
      </x:c>
      <x:c r="J119" s="7" t="str">
        <x:v>https://image.tmdb.org/t/p/w342/kIlzZJqV4SCGHrrjoGLBhmsO7z2.jpg</x:v>
      </x:c>
      <x:c r="K119" s="3" t="e">
        <x:f>IMAGE(J119)</x:f>
      </x:c>
      <x:c r="L119" s="8" t="n">
        <x:v>91</x:v>
      </x:c>
      <x:c r="M119" s="46" t="str">
        <x: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x:v>
      </x:c>
      <x:c r="N119" s="2" t="n">
        <x:v>37554</x:v>
      </x:c>
      <x:c r="O119" s="2" t="str">
        <x:v>Unwatched</x:v>
      </x:c>
      <x:c r="P119" s="9"/>
      <x:c r="Q119" s="6"/>
      <x:c r="R119" s="2" t="str">
        <x:v>https://www.themoviedb.org/movie/9645</x:v>
      </x:c>
      <x:c r="S119" s="10" t="str">
        <x:v>Matched</x:v>
      </x:c>
    </x:row>
    <x:row r="120" ht="90" customHeight="1">
      <x:c r="A120" s="2" t="str">
        <x:v>God Bless America (2011)</x:v>
      </x:c>
      <x:c r="B120" s="2" t="str">
        <x:v>God Bless America</x:v>
      </x:c>
      <x:c r="C120" s="3" t="n">
        <x:v>2011</x:v>
      </x:c>
      <x:c r="D120" s="2" t="str">
        <x:v>Blu-ray</x:v>
      </x:c>
      <x:c r="E120" s="4"/>
      <x:c r="F120" s="3" t="n">
        <x:v>74306</x:v>
      </x:c>
      <x:c r="G120" s="5" t="n">
        <x:v>6.949</x:v>
      </x:c>
      <x:c r="H120" s="2" t="str">
        <x:v>Comedy, Drama, Crime</x:v>
      </x:c>
      <x:c r="I120" s="6" t="str">
        <x:v>/jEyiGve8BLOCvi8R2tL8H52aLp4.jpg</x:v>
      </x:c>
      <x:c r="J120" s="7" t="str">
        <x:v>https://image.tmdb.org/t/p/w342/jEyiGve8BLOCvi8R2tL8H52aLp4.jpg</x:v>
      </x:c>
      <x:c r="K120" s="3" t="e">
        <x:f>IMAGE(J120)</x:f>
      </x:c>
      <x:c r="L120" s="8" t="n">
        <x:v>104</x:v>
      </x:c>
      <x:c r="M120" s="46" t="str">
        <x:v>Fed up with the cruelty and stupidity of American culture, an unlikely duo goes on a killing spree, killing reality TV stars, bigots and others they find repugnant.</x:v>
      </x:c>
      <x:c r="N120" s="2" t="n">
        <x:v>41040</x:v>
      </x:c>
      <x:c r="O120" s="2" t="str">
        <x:v>Unwatched</x:v>
      </x:c>
      <x:c r="P120" s="9"/>
      <x:c r="Q120" s="6"/>
      <x:c r="R120" s="2" t="str">
        <x:v>https://www.themoviedb.org/movie/74306</x:v>
      </x:c>
      <x:c r="S120" s="10" t="str">
        <x:v>Matched</x:v>
      </x:c>
    </x:row>
    <x:row r="121" ht="90" customHeight="1">
      <x:c r="A121" s="2" t="str">
        <x:v>Godzilla vs. Kong (2021)</x:v>
      </x:c>
      <x:c r="B121" s="2" t="str">
        <x:v>Godzilla vs. Kong</x:v>
      </x:c>
      <x:c r="C121" s="3" t="n">
        <x:v>2021</x:v>
      </x:c>
      <x:c r="D121" s="2" t="str">
        <x:v>Blu-ray</x:v>
      </x:c>
      <x:c r="E121" s="4"/>
      <x:c r="F121" s="3" t="n">
        <x:v>399566</x:v>
      </x:c>
      <x:c r="G121" s="5" t="n">
        <x:v>7.5</x:v>
      </x:c>
      <x:c r="H121" s="2" t="str">
        <x:v>Action, Science Fiction, Adventure</x:v>
      </x:c>
      <x:c r="I121" s="6" t="str">
        <x:v>/pgqgaUx1cJb5oZQQ5v0tNARCeBp.jpg</x:v>
      </x:c>
      <x:c r="J121" s="7" t="str">
        <x:v>https://image.tmdb.org/t/p/w342/pgqgaUx1cJb5oZQQ5v0tNARCeBp.jpg</x:v>
      </x:c>
      <x:c r="K121" s="3" t="e">
        <x:f>IMAGE(J121)</x:f>
      </x:c>
      <x:c r="L121" s="8" t="n">
        <x:v>114</x:v>
      </x:c>
      <x:c r="M121" s="46" t="str">
        <x:v>In a time when monsters walk the Earth, humanity’s fight for its future sets Godzilla and Kong on a collision course that will see the two most powerful forces of nature on the planet collide in a spectacular battle for the ages.</x:v>
      </x:c>
      <x:c r="N121" s="2" t="n">
        <x:v>44279</x:v>
      </x:c>
      <x:c r="O121" s="2" t="str">
        <x:v>Unwatched</x:v>
      </x:c>
      <x:c r="P121" s="9"/>
      <x:c r="Q121" s="6"/>
      <x:c r="R121" s="2" t="str">
        <x:v>https://www.themoviedb.org/movie/399566</x:v>
      </x:c>
      <x:c r="S121" s="10" t="str">
        <x:v>Matched</x:v>
      </x:c>
    </x:row>
    <x:row r="122" ht="90" customHeight="1">
      <x:c r="A122" s="2" t="str">
        <x:v>Godzilla: King of the Monsters (2019)</x:v>
      </x:c>
      <x:c r="B122" s="2" t="str">
        <x:v>Godzilla: King of the Monsters</x:v>
      </x:c>
      <x:c r="C122" s="3" t="n">
        <x:v>2019</x:v>
      </x:c>
      <x:c r="D122" s="2" t="str">
        <x:v>Blu-ray</x:v>
      </x:c>
      <x:c r="E122" s="4"/>
      <x:c r="F122" s="3" t="n">
        <x:v>373571</x:v>
      </x:c>
      <x:c r="G122" s="5" t="n">
        <x:v>6.7</x:v>
      </x:c>
      <x:c r="H122" s="2" t="str">
        <x:v>Science Fiction, Action</x:v>
      </x:c>
      <x:c r="I122" s="6" t="str">
        <x:v>/mzOHg7Q5q9yUmY0b9Esu8Qe6Nnm.jpg</x:v>
      </x:c>
      <x:c r="J122" s="7" t="str">
        <x:v>https://image.tmdb.org/t/p/w342/mzOHg7Q5q9yUmY0b9Esu8Qe6Nnm.jpg</x:v>
      </x:c>
      <x:c r="K122" s="3" t="e">
        <x:f>IMAGE(J122)</x:f>
      </x:c>
      <x:c r="L122" s="8" t="n">
        <x:v>132</x:v>
      </x:c>
      <x:c r="M122" s="46" t="str">
        <x: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x:v>
      </x:c>
      <x:c r="N122" s="2" t="n">
        <x:v>43614</x:v>
      </x:c>
      <x:c r="O122" s="2" t="str">
        <x:v>Unwatched</x:v>
      </x:c>
      <x:c r="P122" s="9"/>
      <x:c r="Q122" s="6"/>
      <x:c r="R122" s="2" t="str">
        <x:v>https://www.themoviedb.org/movie/373571</x:v>
      </x:c>
      <x:c r="S122" s="10" t="str">
        <x:v>Matched</x:v>
      </x:c>
    </x:row>
    <x:row r="123" ht="90" customHeight="1">
      <x:c r="A123" s="2" t="str">
        <x:v>Gonjiam: Haunted Asylum (2018)</x:v>
      </x:c>
      <x:c r="B123" s="2" t="str">
        <x:v>Gonjiam: Haunted Asylum</x:v>
      </x:c>
      <x:c r="C123" s="3" t="n">
        <x:v>2018</x:v>
      </x:c>
      <x:c r="D123" s="2" t="str">
        <x:v>Blu-ray</x:v>
      </x:c>
      <x:c r="E123" s="4"/>
      <x:c r="F123" s="3" t="n">
        <x:v>508642</x:v>
      </x:c>
      <x:c r="G123" s="5" t="n">
        <x:v>7.3</x:v>
      </x:c>
      <x:c r="H123" s="2" t="str">
        <x:v>Horror, Mystery</x:v>
      </x:c>
      <x:c r="I123" s="6" t="str">
        <x:v>/fNqlsmu2tiI1bXcpU31yjHPkiJz.jpg</x:v>
      </x:c>
      <x:c r="J123" s="7" t="str">
        <x:v>https://image.tmdb.org/t/p/w342/fNqlsmu2tiI1bXcpU31yjHPkiJz.jpg</x:v>
      </x:c>
      <x:c r="K123" s="3" t="e">
        <x:f>IMAGE(J123)</x:f>
      </x:c>
      <x:c r="L123" s="8" t="n">
        <x:v>95</x:v>
      </x:c>
      <x:c r="M123" s="46" t="str">
        <x:v>The crew of a horror web series travels to an abandoned asylum for a live broadcast, but they encounter much more than expected as they move deeper inside the nightmarish old building.</x:v>
      </x:c>
      <x:c r="N123" s="2" t="n">
        <x:v>43187</x:v>
      </x:c>
      <x:c r="O123" s="2" t="str">
        <x:v>Unwatched</x:v>
      </x:c>
      <x:c r="P123" s="9"/>
      <x:c r="Q123" s="6"/>
      <x:c r="R123" s="2" t="str">
        <x:v>https://www.themoviedb.org/movie/508642</x:v>
      </x:c>
      <x:c r="S123" s="10" t="str">
        <x:v>Matched</x:v>
      </x:c>
    </x:row>
    <x:row r="124" ht="90" customHeight="1">
      <x:c r="A124" s="2" t="str">
        <x:v>Goon (2011)</x:v>
      </x:c>
      <x:c r="B124" s="2" t="str">
        <x:v>Goon</x:v>
      </x:c>
      <x:c r="C124" s="3" t="n">
        <x:v>2011</x:v>
      </x:c>
      <x:c r="D124" s="2" t="str">
        <x:v>Blu-ray</x:v>
      </x:c>
      <x:c r="E124" s="4"/>
      <x:c r="F124" s="3" t="n">
        <x:v>63064</x:v>
      </x:c>
      <x:c r="G124" s="5" t="n">
        <x:v>6.9</x:v>
      </x:c>
      <x:c r="H124" s="2" t="str">
        <x:v>Drama</x:v>
      </x:c>
      <x:c r="I124" s="6" t="str">
        <x:v>/A2CcakhYdSTyZSHV8IcxjSeQEuP.jpg</x:v>
      </x:c>
      <x:c r="J124" s="7" t="str">
        <x:v>https://image.tmdb.org/t/p/w342/A2CcakhYdSTyZSHV8IcxjSeQEuP.jpg</x:v>
      </x:c>
      <x:c r="K124" s="3" t="e">
        <x:f>IMAGE(J124)</x:f>
      </x:c>
      <x:c r="L124" s="8" t="n">
        <x:v>105</x:v>
      </x:c>
      <x:c r="M124" s="46" t="str">
        <x:v>In Chengdu, China, a retired female opera singer named Master Chang takes in a trio of young tenants into her boarding home. The tenants include a rock singer and a college student who has run away from home.</x:v>
      </x:c>
      <x:c r="N124" s="2" t="n">
        <x:v>40605</x:v>
      </x:c>
      <x:c r="O124" s="2" t="str">
        <x:v>Unwatched</x:v>
      </x:c>
      <x:c r="P124" s="9"/>
      <x:c r="Q124" s="6"/>
      <x:c r="R124" s="2" t="str">
        <x:v>https://www.themoviedb.org/movie/63064</x:v>
      </x:c>
      <x:c r="S124" s="10" t="str">
        <x:v>Matched</x:v>
      </x:c>
    </x:row>
    <x:row r="125" ht="90" customHeight="1">
      <x:c r="A125" s="2" t="str">
        <x:v>Grave Encounters (2011)</x:v>
      </x:c>
      <x:c r="B125" s="2" t="str">
        <x:v>Grave Encounters</x:v>
      </x:c>
      <x:c r="C125" s="3" t="n">
        <x:v>2011</x:v>
      </x:c>
      <x:c r="D125" s="2" t="str">
        <x:v>Blu-ray</x:v>
      </x:c>
      <x:c r="E125" s="4"/>
      <x:c r="F125" s="3" t="n">
        <x:v>50698</x:v>
      </x:c>
      <x:c r="G125" s="5" t="n">
        <x:v>6.315</x:v>
      </x:c>
      <x:c r="H125" s="2" t="str">
        <x:v>Thriller, Horror</x:v>
      </x:c>
      <x:c r="I125" s="6" t="str">
        <x:v>/8vnsB3Rg9Gb91UOaecXRb7dYB37.jpg</x:v>
      </x:c>
      <x:c r="J125" s="7" t="str">
        <x:v>https://image.tmdb.org/t/p/w342/8vnsB3Rg9Gb91UOaecXRb7dYB37.jpg</x:v>
      </x:c>
      <x:c r="K125" s="3" t="e">
        <x:f>IMAGE(J125)</x:f>
      </x:c>
      <x:c r="L125" s="8" t="n">
        <x:v>93</x:v>
      </x:c>
      <x:c r="M125" s="46" t="str">
        <x:v>A crew from a paranormal reality television show lock themselves in a haunted psychiatric hospital. They search for evidence of paranormal activity as they shoot what ends up becoming their final episode.</x:v>
      </x:c>
      <x:c r="N125" s="2" t="n">
        <x:v>40795</x:v>
      </x:c>
      <x:c r="O125" s="2" t="str">
        <x:v>Unwatched</x:v>
      </x:c>
      <x:c r="P125" s="9"/>
      <x:c r="Q125" s="6"/>
      <x:c r="R125" s="2" t="str">
        <x:v>https://www.themoviedb.org/movie/50698</x:v>
      </x:c>
      <x:c r="S125" s="10" t="str">
        <x:v>Matched</x:v>
      </x:c>
    </x:row>
    <x:row r="126" ht="90" customHeight="1">
      <x:c r="A126" s="2" t="str">
        <x:v>The Great Gatsby (2013)</x:v>
      </x:c>
      <x:c r="B126" s="2" t="str">
        <x:v>The Great Gatsby</x:v>
      </x:c>
      <x:c r="C126" s="3" t="n">
        <x:v>2013</x:v>
      </x:c>
      <x:c r="D126" s="2" t="str">
        <x:v>Blu-ray</x:v>
      </x:c>
      <x:c r="E126" s="4"/>
      <x:c r="F126" s="3" t="n">
        <x:v>64682</x:v>
      </x:c>
      <x:c r="G126" s="5" t="n">
        <x:v>7.4</x:v>
      </x:c>
      <x:c r="H126" s="2" t="str">
        <x:v>Drama, Romance</x:v>
      </x:c>
      <x:c r="I126" s="6" t="str">
        <x:v>/tyxfCBQv6Ap74jcu3xd7aBiaa29.jpg</x:v>
      </x:c>
      <x:c r="J126" s="7" t="str">
        <x:v>https://image.tmdb.org/t/p/w342/tyxfCBQv6Ap74jcu3xd7aBiaa29.jpg</x:v>
      </x:c>
      <x:c r="K126" s="3" t="e">
        <x:f>IMAGE(J126)</x:f>
      </x:c>
      <x:c r="L126" s="8" t="n">
        <x:v>143</x:v>
      </x:c>
      <x:c r="M126" s="46" t="str">
        <x: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x:v>
      </x:c>
      <x:c r="N126" s="2" t="n">
        <x:v>41403</x:v>
      </x:c>
      <x:c r="O126" s="2" t="str">
        <x:v>Unwatched</x:v>
      </x:c>
      <x:c r="P126" s="9"/>
      <x:c r="Q126" s="6"/>
      <x:c r="R126" s="2" t="str">
        <x:v>https://www.themoviedb.org/movie/64682</x:v>
      </x:c>
      <x:c r="S126" s="10" t="str">
        <x:v>Matched</x:v>
      </x:c>
    </x:row>
    <x:row r="127" ht="90" customHeight="1">
      <x:c r="A127" s="2" t="str">
        <x:v>Gremlins (1984)</x:v>
      </x:c>
      <x:c r="B127" s="2" t="str">
        <x:v>Gremlins</x:v>
      </x:c>
      <x:c r="C127" s="3" t="n">
        <x:v>1984</x:v>
      </x:c>
      <x:c r="D127" s="2" t="str">
        <x:v>Blu-ray</x:v>
      </x:c>
      <x:c r="E127" s="4"/>
      <x:c r="F127" s="3" t="n">
        <x:v>927</x:v>
      </x:c>
      <x:c r="G127" s="5" t="n">
        <x:v>7.142</x:v>
      </x:c>
      <x:c r="H127" s="2" t="str">
        <x:v>Fantasy, Horror, Comedy</x:v>
      </x:c>
      <x:c r="I127" s="6" t="str">
        <x:v>/6m0F7fsXjQvUbCZrPWcJNrjvIui.jpg</x:v>
      </x:c>
      <x:c r="J127" s="7" t="str">
        <x:v>https://image.tmdb.org/t/p/w342/6m0F7fsXjQvUbCZrPWcJNrjvIui.jpg</x:v>
      </x:c>
      <x:c r="K127" s="3" t="e">
        <x:f>IMAGE(J127)</x:f>
      </x:c>
      <x:c r="L127" s="8" t="n">
        <x:v>106</x:v>
      </x:c>
      <x:c r="M127" s="46" t="str">
        <x:v>After receiving an exotic small animal as a Christmas gift, a young man inadvertently breaks three important rules concerning his new pet, which unleashes a horde of malevolently mischievous creatures on a small town.</x:v>
      </x:c>
      <x:c r="N127" s="2" t="n">
        <x:v>30841</x:v>
      </x:c>
      <x:c r="O127" s="2" t="str">
        <x:v>Unwatched</x:v>
      </x:c>
      <x:c r="P127" s="9"/>
      <x:c r="Q127" s="6"/>
      <x:c r="R127" s="2" t="str">
        <x:v>https://www.themoviedb.org/movie/927</x:v>
      </x:c>
      <x:c r="S127" s="10" t="str">
        <x:v>Matched</x:v>
      </x:c>
    </x:row>
    <x:row r="128" ht="90" customHeight="1">
      <x:c r="A128" s="2" t="str">
        <x:v>Gremlins 2: The New Batch (1990)</x:v>
      </x:c>
      <x:c r="B128" s="2" t="str">
        <x:v>Gremlins 2: The New Batch</x:v>
      </x:c>
      <x:c r="C128" s="3" t="n">
        <x:v>1990</x:v>
      </x:c>
      <x:c r="D128" s="2" t="str">
        <x:v>Blu-ray</x:v>
      </x:c>
      <x:c r="E128" s="4"/>
      <x:c r="F128" s="3" t="n">
        <x:v>928</x:v>
      </x:c>
      <x:c r="G128" s="5" t="n">
        <x:v>6.525</x:v>
      </x:c>
      <x:c r="H128" s="2" t="str">
        <x:v>Comedy, Horror, Fantasy</x:v>
      </x:c>
      <x:c r="I128" s="6" t="str">
        <x:v>/35F5yD7MljvBE2AC0NHAVCoPGEi.jpg</x:v>
      </x:c>
      <x:c r="J128" s="7" t="str">
        <x:v>https://image.tmdb.org/t/p/w342/35F5yD7MljvBE2AC0NHAVCoPGEi.jpg</x:v>
      </x:c>
      <x:c r="K128" s="3" t="e">
        <x:f>IMAGE(J128)</x:f>
      </x:c>
      <x:c r="L128" s="8" t="n">
        <x:v>106</x:v>
      </x:c>
      <x:c r="M128" s="46" t="str">
        <x: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x:v>
      </x:c>
      <x:c r="N128" s="2" t="n">
        <x:v>33039</x:v>
      </x:c>
      <x:c r="O128" s="2" t="str">
        <x:v>Unwatched</x:v>
      </x:c>
      <x:c r="P128" s="9"/>
      <x:c r="Q128" s="6"/>
      <x:c r="R128" s="2" t="str">
        <x:v>https://www.themoviedb.org/movie/928</x:v>
      </x:c>
      <x:c r="S128" s="10" t="str">
        <x:v>Matched</x:v>
      </x:c>
    </x:row>
    <x:row r="129" ht="90" customHeight="1">
      <x:c r="A129" s="2" t="str">
        <x:v>The Grudge (2019)</x:v>
      </x:c>
      <x:c r="B129" s="2" t="str">
        <x:v>The Grudge</x:v>
      </x:c>
      <x:c r="C129" s="3" t="n">
        <x:v>2019</x:v>
      </x:c>
      <x:c r="D129" s="2" t="str">
        <x:v>Blu-ray</x:v>
      </x:c>
      <x:c r="E129" s="4"/>
      <x:c r="F129" s="3" t="n">
        <x:v>465086</x:v>
      </x:c>
      <x:c r="G129" s="5" t="n">
        <x:v>5.4</x:v>
      </x:c>
      <x:c r="H129" s="2" t="str">
        <x:v>Horror, Mystery</x:v>
      </x:c>
      <x:c r="I129" s="6" t="str">
        <x:v>/vN7JHlHOT9rHNDU27tfYqhABBj5.jpg</x:v>
      </x:c>
      <x:c r="J129" s="7" t="str">
        <x:v>https://image.tmdb.org/t/p/w342/vN7JHlHOT9rHNDU27tfYqhABBj5.jpg</x:v>
      </x:c>
      <x:c r="K129" s="3" t="e">
        <x:f>IMAGE(J129)</x:f>
      </x:c>
      <x:c r="L129" s="8" t="n">
        <x:v>94</x:v>
      </x:c>
      <x:c r="M129" s="46" t="str">
        <x: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x:v>
      </x:c>
      <x:c r="N129" s="2" t="n">
        <x:v>43830</x:v>
      </x:c>
      <x:c r="O129" s="2" t="str">
        <x:v>Unwatched</x:v>
      </x:c>
      <x:c r="P129" s="9"/>
      <x:c r="Q129" s="6"/>
      <x:c r="R129" s="2" t="str">
        <x:v>https://www.themoviedb.org/movie/465086</x:v>
      </x:c>
      <x:c r="S129" s="10" t="str">
        <x:v>Matched</x:v>
      </x:c>
    </x:row>
    <x:row r="130" ht="90" customHeight="1">
      <x:c r="A130" s="2" t="str">
        <x:v>The Grudge (2004)</x:v>
      </x:c>
      <x:c r="B130" s="2" t="str">
        <x:v>The Grudge</x:v>
      </x:c>
      <x:c r="C130" s="3" t="n">
        <x:v>2004</x:v>
      </x:c>
      <x:c r="D130" s="2" t="str">
        <x:v>Blu-ray</x:v>
      </x:c>
      <x:c r="E130" s="4"/>
      <x:c r="F130" s="3" t="n">
        <x:v>1970</x:v>
      </x:c>
      <x:c r="G130" s="5" t="n">
        <x:v>5.929</x:v>
      </x:c>
      <x:c r="H130" s="2" t="str">
        <x:v>Horror, Mystery, Thriller</x:v>
      </x:c>
      <x:c r="I130" s="6" t="str">
        <x:v>/7vPAVPKYexQVmvC578wPLn2CGCL.jpg</x:v>
      </x:c>
      <x:c r="J130" s="7" t="str">
        <x:v>https://image.tmdb.org/t/p/w342/7vPAVPKYexQVmvC578wPLn2CGCL.jpg</x:v>
      </x:c>
      <x:c r="K130" s="3" t="e">
        <x:f>IMAGE(J130)</x:f>
      </x:c>
      <x:c r="L130" s="8" t="n">
        <x:v>92</x:v>
      </x:c>
      <x:c r="M130" s="46" t="str">
        <x:v>An American nurse living and working in Tokyo is exposed to a mysterious supernatural curse, one that locks a person in a powerful rage before claiming their life and spreading to another victim.</x:v>
      </x:c>
      <x:c r="N130" s="2" t="n">
        <x:v>38282</x:v>
      </x:c>
      <x:c r="O130" s="2" t="str">
        <x:v>Unwatched</x:v>
      </x:c>
      <x:c r="P130" s="9"/>
      <x:c r="Q130" s="6"/>
      <x:c r="R130" s="2" t="str">
        <x:v>https://www.themoviedb.org/movie/1970</x:v>
      </x:c>
      <x:c r="S130" s="10" t="str">
        <x:v>Matched</x:v>
      </x:c>
    </x:row>
    <x:row r="131" ht="90" customHeight="1">
      <x:c r="A131" s="2" t="str">
        <x:v>The Grudge 2 (2006)</x:v>
      </x:c>
      <x:c r="B131" s="2" t="str">
        <x:v>The Grudge 2</x:v>
      </x:c>
      <x:c r="C131" s="3" t="n">
        <x:v>2006</x:v>
      </x:c>
      <x:c r="D131" s="2" t="str">
        <x:v>Blu-ray</x:v>
      </x:c>
      <x:c r="E131" s="4"/>
      <x:c r="F131" s="3" t="n">
        <x:v>1975</x:v>
      </x:c>
      <x:c r="G131" s="5" t="n">
        <x:v>5.575</x:v>
      </x:c>
      <x:c r="H131" s="2" t="str">
        <x:v>Horror, Thriller</x:v>
      </x:c>
      <x:c r="I131" s="6" t="str">
        <x:v>/oHLeYXqA8P0jVIY2C8kQFyQTzkr.jpg</x:v>
      </x:c>
      <x:c r="J131" s="7" t="str">
        <x:v>https://image.tmdb.org/t/p/w342/oHLeYXqA8P0jVIY2C8kQFyQTzkr.jpg</x:v>
      </x:c>
      <x:c r="K131" s="3" t="e">
        <x:f>IMAGE(J131)</x:f>
      </x:c>
      <x:c r="L131" s="8" t="n">
        <x:v>102</x:v>
      </x:c>
      <x:c r="M131" s="46" t="str">
        <x:v>A young woman encounters a malevolent supernatural force while searching for her missing sister in Tokyo, a mean high school prank goes horribly wrong, and strange things begin happening in a Chicago apartment building.</x:v>
      </x:c>
      <x:c r="N131" s="2" t="n">
        <x:v>39002</x:v>
      </x:c>
      <x:c r="O131" s="2" t="str">
        <x:v>Unwatched</x:v>
      </x:c>
      <x:c r="P131" s="9"/>
      <x:c r="Q131" s="6"/>
      <x:c r="R131" s="2" t="str">
        <x:v>https://www.themoviedb.org/movie/1975</x:v>
      </x:c>
      <x:c r="S131" s="10" t="str">
        <x:v>Matched</x:v>
      </x:c>
    </x:row>
    <x:row r="132" ht="90" customHeight="1">
      <x:c r="A132" s="2" t="str">
        <x:v>The Grudge 3 (2009)</x:v>
      </x:c>
      <x:c r="B132" s="2" t="str">
        <x:v>The Grudge 3</x:v>
      </x:c>
      <x:c r="C132" s="3" t="n">
        <x:v>2009</x:v>
      </x:c>
      <x:c r="D132" s="2" t="str">
        <x:v>Blu-ray</x:v>
      </x:c>
      <x:c r="E132" s="4"/>
      <x:c r="F132" s="3" t="n">
        <x:v>1977</x:v>
      </x:c>
      <x:c r="G132" s="5" t="n">
        <x:v>5.426</x:v>
      </x:c>
      <x:c r="H132" s="2" t="str">
        <x:v>Mystery, Horror, Thriller</x:v>
      </x:c>
      <x:c r="I132" s="6" t="str">
        <x:v>/uEOWWRr8BbgPM0BiJiSTwHGaRx4.jpg</x:v>
      </x:c>
      <x:c r="J132" s="7" t="str">
        <x:v>https://image.tmdb.org/t/p/w342/uEOWWRr8BbgPM0BiJiSTwHGaRx4.jpg</x:v>
      </x:c>
      <x:c r="K132" s="3" t="e">
        <x:f>IMAGE(J132)</x:f>
      </x:c>
      <x:c r="L132" s="8" t="n">
        <x:v>90</x:v>
      </x:c>
      <x:c r="M132" s="46" t="str">
        <x: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x:v>
      </x:c>
      <x:c r="N132" s="2" t="n">
        <x:v>39945</x:v>
      </x:c>
      <x:c r="O132" s="2" t="str">
        <x:v>Unwatched</x:v>
      </x:c>
      <x:c r="P132" s="9"/>
      <x:c r="Q132" s="6"/>
      <x:c r="R132" s="2" t="str">
        <x:v>https://www.themoviedb.org/movie/1977</x:v>
      </x:c>
      <x:c r="S132" s="10" t="str">
        <x:v>Matched</x:v>
      </x:c>
    </x:row>
    <x:row r="133" ht="90" customHeight="1">
      <x:c r="A133" s="2" t="str">
        <x:v>Guardians of the Galaxy (2014)</x:v>
      </x:c>
      <x:c r="B133" s="2" t="str">
        <x:v>Guardians of the Galaxy</x:v>
      </x:c>
      <x:c r="C133" s="3" t="n">
        <x:v>2014</x:v>
      </x:c>
      <x:c r="D133" s="2" t="str">
        <x:v>Blu-ray</x:v>
      </x:c>
      <x:c r="E133" s="4"/>
      <x:c r="F133" s="3" t="n">
        <x:v>118340</x:v>
      </x:c>
      <x:c r="G133" s="5" t="n">
        <x:v>7.905</x:v>
      </x:c>
      <x:c r="H133" s="2" t="str">
        <x:v>Action, Science Fiction, Adventure</x:v>
      </x:c>
      <x:c r="I133" s="6" t="str">
        <x:v>/r7vmZjiyZw9rpJMQJdXpjgiCOk9.jpg</x:v>
      </x:c>
      <x:c r="J133" s="7" t="str">
        <x:v>https://image.tmdb.org/t/p/w342/r7vmZjiyZw9rpJMQJdXpjgiCOk9.jpg</x:v>
      </x:c>
      <x:c r="K133" s="3" t="e">
        <x:f>IMAGE(J133)</x:f>
      </x:c>
      <x:c r="L133" s="8" t="n">
        <x:v>121</x:v>
      </x:c>
      <x:c r="M133" s="46" t="str">
        <x:v>Light years from Earth, 26 years after being abducted, Peter Quill finds himself the prime target of a manhunt after discovering an orb wanted by Ronan the Accuser.</x:v>
      </x:c>
      <x:c r="N133" s="2" t="n">
        <x:v>41850</x:v>
      </x:c>
      <x:c r="O133" s="2" t="str">
        <x:v>Unwatched</x:v>
      </x:c>
      <x:c r="P133" s="9"/>
      <x:c r="Q133" s="6"/>
      <x:c r="R133" s="2" t="str">
        <x:v>https://www.themoviedb.org/movie/118340</x:v>
      </x:c>
      <x:c r="S133" s="10" t="str">
        <x:v>Matched</x:v>
      </x:c>
    </x:row>
    <x:row r="134" ht="90" customHeight="1">
      <x:c r="A134" s="2" t="str">
        <x:v>Hacksaw Ridge (2016)</x:v>
      </x:c>
      <x:c r="B134" s="2" t="str">
        <x:v>Hacksaw Ridge</x:v>
      </x:c>
      <x:c r="C134" s="3" t="n">
        <x:v>2016</x:v>
      </x:c>
      <x:c r="D134" s="2" t="str">
        <x:v>Blu-ray</x:v>
      </x:c>
      <x:c r="E134" s="4"/>
      <x:c r="F134" s="3" t="n">
        <x:v>324786</x:v>
      </x:c>
      <x:c r="G134" s="5" t="n">
        <x:v>8.2</x:v>
      </x:c>
      <x:c r="H134" s="2" t="str">
        <x:v>Drama, History, War</x:v>
      </x:c>
      <x:c r="I134" s="6" t="str">
        <x:v>/fnOMP6mjmOmZwmlC1n0K7ivrzt1.jpg</x:v>
      </x:c>
      <x:c r="J134" s="7" t="str">
        <x:v>https://image.tmdb.org/t/p/w342/fnOMP6mjmOmZwmlC1n0K7ivrzt1.jpg</x:v>
      </x:c>
      <x:c r="K134" s="3" t="e">
        <x:f>IMAGE(J134)</x:f>
      </x:c>
      <x:c r="L134" s="8" t="n">
        <x:v>139</x:v>
      </x:c>
      <x:c r="M134" s="46" t="str">
        <x:v>WWII American Army Medic Desmond T. Doss, who served during the Battle of Okinawa, refuses to kill people and becomes the first Conscientious Objector in American history to receive the Congressional Medal of Honor.</x:v>
      </x:c>
      <x:c r="N134" s="2" t="n">
        <x:v>42650</x:v>
      </x:c>
      <x:c r="O134" s="2" t="str">
        <x:v>Unwatched</x:v>
      </x:c>
      <x:c r="P134" s="9"/>
      <x:c r="Q134" s="6"/>
      <x:c r="R134" s="2" t="str">
        <x:v>https://www.themoviedb.org/movie/324786</x:v>
      </x:c>
      <x:c r="S134" s="10" t="str">
        <x:v>Matched</x:v>
      </x:c>
    </x:row>
    <x:row r="135" ht="90" customHeight="1">
      <x:c r="A135" s="2" t="str">
        <x:v>Halloween (2018)</x:v>
      </x:c>
      <x:c r="B135" s="2" t="str">
        <x:v>Halloween</x:v>
      </x:c>
      <x:c r="C135" s="3" t="n">
        <x:v>2018</x:v>
      </x:c>
      <x:c r="D135" s="2" t="str">
        <x:v>Blu-ray</x:v>
      </x:c>
      <x:c r="E135" s="4"/>
      <x:c r="F135" s="3" t="n">
        <x:v>424139</x:v>
      </x:c>
      <x:c r="G135" s="5" t="n">
        <x:v>6.565</x:v>
      </x:c>
      <x:c r="H135" s="2" t="str">
        <x:v>Horror, Thriller</x:v>
      </x:c>
      <x:c r="I135" s="6" t="str">
        <x:v>/f7JAX5EGk4GgsEnus6OxyzwpFp7.jpg</x:v>
      </x:c>
      <x:c r="J135" s="7" t="str">
        <x:v>https://image.tmdb.org/t/p/w342/f7JAX5EGk4GgsEnus6OxyzwpFp7.jpg</x:v>
      </x:c>
      <x:c r="K135" s="3" t="e">
        <x:f>IMAGE(J135)</x:f>
      </x:c>
      <x:c r="L135" s="8" t="n">
        <x:v>106</x:v>
      </x:c>
      <x:c r="M135" s="46" t="str">
        <x:v>Laurie Strode comes to her final confrontation with Michael Myers, the masked figure who has haunted her since she narrowly escaped his killing spree on Halloween night four decades ago.</x:v>
      </x:c>
      <x:c r="N135" s="2" t="n">
        <x:v>43391</x:v>
      </x:c>
      <x:c r="O135" s="2" t="str">
        <x:v>Unwatched</x:v>
      </x:c>
      <x:c r="P135" s="9"/>
      <x:c r="Q135" s="6"/>
      <x:c r="R135" s="2" t="str">
        <x:v>https://www.themoviedb.org/movie/424139</x:v>
      </x:c>
      <x:c r="S135" s="10" t="str">
        <x:v>Matched</x:v>
      </x:c>
    </x:row>
    <x:row r="136" ht="90" customHeight="1">
      <x:c r="A136" s="2" t="str">
        <x:v>Halloween (1978)</x:v>
      </x:c>
      <x:c r="B136" s="2" t="str">
        <x:v>Halloween</x:v>
      </x:c>
      <x:c r="C136" s="3" t="n">
        <x:v>1978</x:v>
      </x:c>
      <x:c r="D136" s="2" t="str">
        <x:v>Blu-ray</x:v>
      </x:c>
      <x:c r="E136" s="4"/>
      <x:c r="F136" s="3" t="n">
        <x:v>948</x:v>
      </x:c>
      <x:c r="G136" s="5" t="n">
        <x:v>7.558</x:v>
      </x:c>
      <x:c r="H136" s="2" t="str">
        <x:v>Horror, Thriller</x:v>
      </x:c>
      <x:c r="I136" s="6" t="str">
        <x:v>/wijlZ3HaYMvlDTPqJoTCWKFkCPU.jpg</x:v>
      </x:c>
      <x:c r="J136" s="7" t="str">
        <x:v>https://image.tmdb.org/t/p/w342/wijlZ3HaYMvlDTPqJoTCWKFkCPU.jpg</x:v>
      </x:c>
      <x:c r="K136" s="3" t="e">
        <x:f>IMAGE(J136)</x:f>
      </x:c>
      <x:c r="L136" s="8" t="n">
        <x:v>91</x:v>
      </x:c>
      <x:c r="M136" s="46" t="str">
        <x:v>Fifteen years after murdering his sister on Halloween Night 1963, Michael Myers escapes from a mental hospital and returns to the small town of Haddonfield, Illinois to kill again.</x:v>
      </x:c>
      <x:c r="N136" s="2" t="n">
        <x:v>28787</x:v>
      </x:c>
      <x:c r="O136" s="2" t="str">
        <x:v>Unwatched</x:v>
      </x:c>
      <x:c r="P136" s="9"/>
      <x:c r="Q136" s="6"/>
      <x:c r="R136" s="2" t="str">
        <x:v>https://www.themoviedb.org/movie/948</x:v>
      </x:c>
      <x:c r="S136" s="10" t="str">
        <x:v>Matched</x:v>
      </x:c>
    </x:row>
    <x:row r="137" ht="90" customHeight="1">
      <x:c r="A137" s="2" t="str">
        <x:v>Halloween (2007)</x:v>
      </x:c>
      <x:c r="B137" s="2" t="str">
        <x:v>Halloween</x:v>
      </x:c>
      <x:c r="C137" s="3" t="n">
        <x:v>2007</x:v>
      </x:c>
      <x:c r="D137" s="2" t="str">
        <x:v>Blu-ray</x:v>
      </x:c>
      <x:c r="E137" s="4"/>
      <x:c r="F137" s="3" t="n">
        <x:v>2082</x:v>
      </x:c>
      <x:c r="G137" s="5" t="n">
        <x:v>6.236</x:v>
      </x:c>
      <x:c r="H137" s="2" t="str">
        <x:v>Horror</x:v>
      </x:c>
      <x:c r="I137" s="6" t="str">
        <x:v>/cD8JrfSEI4j7WVnKM1GdiYzMoUh.jpg</x:v>
      </x:c>
      <x:c r="J137" s="7" t="str">
        <x:v>https://image.tmdb.org/t/p/w342/cD8JrfSEI4j7WVnKM1GdiYzMoUh.jpg</x:v>
      </x:c>
      <x:c r="K137" s="3" t="e">
        <x:f>IMAGE(J137)</x:f>
      </x:c>
      <x:c r="L137" s="8" t="n">
        <x:v>110</x:v>
      </x:c>
      <x:c r="M137" s="46" t="str">
        <x:v>The early years of young Michael Myers and the events leading up to his fateful Halloween night murder rampage in the quiet town of Haddonfield, Illinois.</x:v>
      </x:c>
      <x:c r="N137" s="2" t="n">
        <x:v>39325</x:v>
      </x:c>
      <x:c r="O137" s="2" t="str">
        <x:v>Unwatched</x:v>
      </x:c>
      <x:c r="P137" s="9"/>
      <x:c r="Q137" s="6"/>
      <x:c r="R137" s="2" t="str">
        <x:v>https://www.themoviedb.org/movie/2082</x:v>
      </x:c>
      <x:c r="S137" s="10" t="str">
        <x:v>Matched</x:v>
      </x:c>
    </x:row>
    <x:row r="138" ht="90" customHeight="1">
      <x:c r="A138" s="2" t="str">
        <x:v>Halloween Ends (2022)</x:v>
      </x:c>
      <x:c r="B138" s="2" t="str">
        <x:v>Halloween Ends</x:v>
      </x:c>
      <x:c r="C138" s="3" t="n">
        <x:v>2022</x:v>
      </x:c>
      <x:c r="D138" s="2" t="str">
        <x:v>Blu-ray</x:v>
      </x:c>
      <x:c r="E138" s="4"/>
      <x:c r="F138" s="3" t="n">
        <x:v>616820</x:v>
      </x:c>
      <x:c r="G138" s="5" t="n">
        <x:v>6.033</x:v>
      </x:c>
      <x:c r="H138" s="2" t="str">
        <x:v>Horror, Thriller</x:v>
      </x:c>
      <x:c r="I138" s="6" t="str">
        <x:v>/q06saepaXeBdkMibuN4R2fXmgIw.jpg</x:v>
      </x:c>
      <x:c r="J138" s="7" t="str">
        <x:v>https://image.tmdb.org/t/p/w342/q06saepaXeBdkMibuN4R2fXmgIw.jpg</x:v>
      </x:c>
      <x:c r="K138" s="3" t="e">
        <x:f>IMAGE(J138)</x:f>
      </x:c>
      <x:c r="L138" s="8" t="n">
        <x:v>111</x:v>
      </x:c>
      <x:c r="M138" s="46" t="str">
        <x:v>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x:v>
      </x:c>
      <x:c r="N138" s="2" t="n">
        <x:v>44846</x:v>
      </x:c>
      <x:c r="O138" s="2" t="str">
        <x:v>Unwatched</x:v>
      </x:c>
      <x:c r="P138" s="9"/>
      <x:c r="Q138" s="6"/>
      <x:c r="R138" s="2" t="str">
        <x:v>https://www.themoviedb.org/movie/616820</x:v>
      </x:c>
      <x:c r="S138" s="10" t="str">
        <x:v>Matched</x:v>
      </x:c>
    </x:row>
    <x:row r="139" ht="90" customHeight="1">
      <x:c r="A139" s="2" t="str">
        <x:v>Halloween II (2009)</x:v>
      </x:c>
      <x:c r="B139" s="2" t="str">
        <x:v>Halloween II</x:v>
      </x:c>
      <x:c r="C139" s="3" t="n">
        <x:v>2009</x:v>
      </x:c>
      <x:c r="D139" s="2" t="str">
        <x:v>Blu-ray</x:v>
      </x:c>
      <x:c r="E139" s="4"/>
      <x:c r="F139" s="3" t="n">
        <x:v>24150</x:v>
      </x:c>
      <x:c r="G139" s="5" t="n">
        <x:v>5.319</x:v>
      </x:c>
      <x:c r="H139" s="2" t="str">
        <x:v>Horror</x:v>
      </x:c>
      <x:c r="I139" s="6" t="str">
        <x:v>/vSHPM4LQDpWdQrD5KZWK6wNqSOD.jpg</x:v>
      </x:c>
      <x:c r="J139" s="7" t="str">
        <x:v>https://image.tmdb.org/t/p/w342/vSHPM4LQDpWdQrD5KZWK6wNqSOD.jpg</x:v>
      </x:c>
      <x:c r="K139" s="3" t="e">
        <x:f>IMAGE(J139)</x:f>
      </x:c>
      <x:c r="L139" s="8" t="n">
        <x:v>105</x:v>
      </x:c>
      <x:c r="M139" s="46" t="str">
        <x:v>Laurie Strode struggles to come to terms with her brother Michael's deadly return to Haddonfield, Illinois. Meanwhile, Michael prepares for another reunion with his sister.</x:v>
      </x:c>
      <x:c r="N139" s="2" t="n">
        <x:v>40053</x:v>
      </x:c>
      <x:c r="O139" s="2" t="str">
        <x:v>Unwatched</x:v>
      </x:c>
      <x:c r="P139" s="9"/>
      <x:c r="Q139" s="6"/>
      <x:c r="R139" s="2" t="str">
        <x:v>https://www.themoviedb.org/movie/24150</x:v>
      </x:c>
      <x:c r="S139" s="10" t="str">
        <x:v>Matched</x:v>
      </x:c>
    </x:row>
    <x:row r="140" ht="90" customHeight="1">
      <x:c r="A140" s="2" t="str">
        <x:v>Halloween II (1981)</x:v>
      </x:c>
      <x:c r="B140" s="2" t="str">
        <x:v>Halloween II</x:v>
      </x:c>
      <x:c r="C140" s="3" t="n">
        <x:v>1981</x:v>
      </x:c>
      <x:c r="D140" s="2" t="str">
        <x:v>Blu-ray</x:v>
      </x:c>
      <x:c r="E140" s="4"/>
      <x:c r="F140" s="3" t="n">
        <x:v>11281</x:v>
      </x:c>
      <x:c r="G140" s="5" t="n">
        <x:v>6.6</x:v>
      </x:c>
      <x:c r="H140" s="2" t="str">
        <x:v>Horror</x:v>
      </x:c>
      <x:c r="I140" s="6" t="str">
        <x:v>/3nX5HHGgOKaVMxXwMLT9DHO1Ne6.jpg</x:v>
      </x:c>
      <x:c r="J140" s="7" t="str">
        <x:v>https://image.tmdb.org/t/p/w342/3nX5HHGgOKaVMxXwMLT9DHO1Ne6.jpg</x:v>
      </x:c>
      <x:c r="K140" s="3" t="e">
        <x:f>IMAGE(J140)</x:f>
      </x:c>
      <x:c r="L140" s="8" t="n">
        <x:v>92</x:v>
      </x:c>
      <x:c r="M140" s="46" t="str">
        <x: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x:v>
      </x:c>
      <x:c r="N140" s="2" t="n">
        <x:v>29889</x:v>
      </x:c>
      <x:c r="O140" s="2" t="str">
        <x:v>Unwatched</x:v>
      </x:c>
      <x:c r="P140" s="9"/>
      <x:c r="Q140" s="6"/>
      <x:c r="R140" s="2" t="str">
        <x:v>https://www.themoviedb.org/movie/11281</x:v>
      </x:c>
      <x:c r="S140" s="10" t="str">
        <x:v>Matched</x:v>
      </x:c>
    </x:row>
    <x:row r="141" ht="90" customHeight="1">
      <x:c r="A141" s="2" t="str">
        <x:v>Halloween III: Season of the Witch (1982)</x:v>
      </x:c>
      <x:c r="B141" s="2" t="str">
        <x:v>Halloween III: Season of the Witch</x:v>
      </x:c>
      <x:c r="C141" s="3" t="n">
        <x:v>1982</x:v>
      </x:c>
      <x:c r="D141" s="2" t="str">
        <x:v>Blu-ray</x:v>
      </x:c>
      <x:c r="E141" s="4"/>
      <x:c r="F141" s="3" t="n">
        <x:v>10676</x:v>
      </x:c>
      <x:c r="G141" s="5" t="n">
        <x:v>5.247</x:v>
      </x:c>
      <x:c r="H141" s="2" t="str">
        <x:v>Horror, Science Fiction, Mystery</x:v>
      </x:c>
      <x:c r="I141" s="6" t="str">
        <x:v>/WABfdeaThFYXCySGIOvRNv2sSW.jpg</x:v>
      </x:c>
      <x:c r="J141" s="7" t="str">
        <x:v>https://image.tmdb.org/t/p/w342/WABfdeaThFYXCySGIOvRNv2sSW.jpg</x:v>
      </x:c>
      <x:c r="K141" s="3" t="e">
        <x:f>IMAGE(J141)</x:f>
      </x:c>
      <x:c r="L141" s="8" t="n">
        <x:v>98</x:v>
      </x:c>
      <x:c r="M141" s="46" t="str">
        <x:v>After a terrified toy salesman is mysteriously attacked and brought to the hospital, clutching the year's most popular Halloween mask, Dr. Daniel Challis sets out to investigate the strange events and finds himself thrust into a nightmarish conspiracy.</x:v>
      </x:c>
      <x:c r="N141" s="2" t="n">
        <x:v>30246</x:v>
      </x:c>
      <x:c r="O141" s="2" t="str">
        <x:v>Unwatched</x:v>
      </x:c>
      <x:c r="P141" s="9"/>
      <x:c r="Q141" s="6"/>
      <x:c r="R141" s="2" t="str">
        <x:v>https://www.themoviedb.org/movie/10676</x:v>
      </x:c>
      <x:c r="S141" s="10" t="str">
        <x:v>Matched</x:v>
      </x:c>
    </x:row>
    <x:row r="142" ht="90" customHeight="1">
      <x:c r="A142" s="2" t="str">
        <x:v>Halloween Kills (2021)</x:v>
      </x:c>
      <x:c r="B142" s="2" t="str">
        <x:v>Halloween Kills</x:v>
      </x:c>
      <x:c r="C142" s="3" t="n">
        <x:v>2021</x:v>
      </x:c>
      <x:c r="D142" s="2" t="str">
        <x:v>Blu-ray</x:v>
      </x:c>
      <x:c r="E142" s="4"/>
      <x:c r="F142" s="3" t="n">
        <x:v>610253</x:v>
      </x:c>
      <x:c r="G142" s="5" t="n">
        <x:v>6.408</x:v>
      </x:c>
      <x:c r="H142" s="2" t="str">
        <x:v>Horror</x:v>
      </x:c>
      <x:c r="I142" s="6" t="str">
        <x:v>/ir9eyz1mtgsohjvo7UYtqUfFuES.jpg</x:v>
      </x:c>
      <x:c r="J142" s="7" t="str">
        <x:v>https://image.tmdb.org/t/p/w342/ir9eyz1mtgsohjvo7UYtqUfFuES.jpg</x:v>
      </x:c>
      <x:c r="K142" s="3" t="e">
        <x:f>IMAGE(J142)</x:f>
      </x:c>
      <x:c r="L142" s="8" t="n">
        <x:v>105</x:v>
      </x:c>
      <x:c r="M142" s="46" t="str">
        <x:v>Michael manages to free himself from Laurie Strode's trap to resume his ritual bloodbath. As she fights for her life from injuries from their last encounter, she inspires her daughter Karen, her granddaughter Allyson, and all of Haddonfield to rise up against the unstoppable monster.</x:v>
      </x:c>
      <x:c r="N142" s="2" t="n">
        <x:v>44483</x:v>
      </x:c>
      <x:c r="O142" s="2" t="str">
        <x:v>Unwatched</x:v>
      </x:c>
      <x:c r="P142" s="9"/>
      <x:c r="Q142" s="6"/>
      <x:c r="R142" s="2" t="str">
        <x:v>https://www.themoviedb.org/movie/610253</x:v>
      </x:c>
      <x:c r="S142" s="10" t="str">
        <x:v>Matched</x:v>
      </x:c>
    </x:row>
    <x:row r="143" ht="90" customHeight="1">
      <x:c r="A143" s="2" t="str">
        <x:v>Hancock (2008)</x:v>
      </x:c>
      <x:c r="B143" s="2" t="str">
        <x:v>Hancock</x:v>
      </x:c>
      <x:c r="C143" s="3" t="n">
        <x:v>2008</x:v>
      </x:c>
      <x:c r="D143" s="2" t="str">
        <x:v>Blu-ray</x:v>
      </x:c>
      <x:c r="E143" s="4"/>
      <x:c r="F143" s="3" t="n">
        <x:v>8960</x:v>
      </x:c>
      <x:c r="G143" s="5" t="n">
        <x:v>6.355</x:v>
      </x:c>
      <x:c r="H143" s="2" t="str">
        <x:v>Fantasy, Action</x:v>
      </x:c>
      <x:c r="I143" s="6" t="str">
        <x:v>/7DyuV2G0hLEqHeueDfOqhZ2DVut.jpg</x:v>
      </x:c>
      <x:c r="J143" s="7" t="str">
        <x:v>https://image.tmdb.org/t/p/w342/7DyuV2G0hLEqHeueDfOqhZ2DVut.jpg</x:v>
      </x:c>
      <x:c r="K143" s="3" t="e">
        <x:f>IMAGE(J143)</x:f>
      </x:c>
      <x:c r="L143" s="8" t="n">
        <x:v>92</x:v>
      </x:c>
      <x:c r="M143" s="46" t="str">
        <x: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x:v>
      </x:c>
      <x:c r="N143" s="2" t="n">
        <x:v>39630</x:v>
      </x:c>
      <x:c r="O143" s="2" t="str">
        <x:v>Unwatched</x:v>
      </x:c>
      <x:c r="P143" s="9"/>
      <x:c r="Q143" s="6"/>
      <x:c r="R143" s="2" t="str">
        <x:v>https://www.themoviedb.org/movie/8960</x:v>
      </x:c>
      <x:c r="S143" s="10" t="str">
        <x:v>Matched</x:v>
      </x:c>
    </x:row>
    <x:row r="144" ht="90" customHeight="1">
      <x:c r="A144" s="2" t="str">
        <x:v>The Hangover (2009)</x:v>
      </x:c>
      <x:c r="B144" s="2" t="str">
        <x:v>The Hangover</x:v>
      </x:c>
      <x:c r="C144" s="3" t="n">
        <x:v>2009</x:v>
      </x:c>
      <x:c r="D144" s="2" t="str">
        <x:v>Blu-ray</x:v>
      </x:c>
      <x:c r="E144" s="4"/>
      <x:c r="F144" s="3" t="n">
        <x:v>18785</x:v>
      </x:c>
      <x:c r="G144" s="5" t="n">
        <x:v>7.331</x:v>
      </x:c>
      <x:c r="H144" s="2" t="str">
        <x:v>Comedy</x:v>
      </x:c>
      <x:c r="I144" s="6" t="str">
        <x:v>/A0uS9rHR56FeBtpjVki16M5xxSW.jpg</x:v>
      </x:c>
      <x:c r="J144" s="7" t="str">
        <x:v>https://image.tmdb.org/t/p/w342/A0uS9rHR56FeBtpjVki16M5xxSW.jpg</x:v>
      </x:c>
      <x:c r="K144" s="3" t="e">
        <x:f>IMAGE(J144)</x:f>
      </x:c>
      <x:c r="L144" s="8" t="n">
        <x:v>100</x:v>
      </x:c>
      <x:c r="M144" s="46" t="str">
        <x:v>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x:v>
      </x:c>
      <x:c r="N144" s="2" t="n">
        <x:v>39966</x:v>
      </x:c>
      <x:c r="O144" s="2" t="str">
        <x:v>Unwatched</x:v>
      </x:c>
      <x:c r="P144" s="9"/>
      <x:c r="Q144" s="6"/>
      <x:c r="R144" s="2" t="str">
        <x:v>https://www.themoviedb.org/movie/18785</x:v>
      </x:c>
      <x:c r="S144" s="10" t="str">
        <x:v>Matched</x:v>
      </x:c>
    </x:row>
    <x:row r="145" ht="90" customHeight="1">
      <x:c r="A145" s="2" t="str">
        <x:v>The Hangover Part II (2011)</x:v>
      </x:c>
      <x:c r="B145" s="2" t="str">
        <x:v>The Hangover Part II</x:v>
      </x:c>
      <x:c r="C145" s="3" t="n">
        <x:v>2011</x:v>
      </x:c>
      <x:c r="D145" s="2" t="str">
        <x:v>Blu-ray</x:v>
      </x:c>
      <x:c r="E145" s="4"/>
      <x:c r="F145" s="3" t="n">
        <x:v>45243</x:v>
      </x:c>
      <x:c r="G145" s="5" t="n">
        <x:v>6.5</x:v>
      </x:c>
      <x:c r="H145" s="2" t="str">
        <x:v>Comedy</x:v>
      </x:c>
      <x:c r="I145" s="6" t="str">
        <x:v>/cKZu0Fdkj7dmwbfMpgDqVVCkLJQ.jpg</x:v>
      </x:c>
      <x:c r="J145" s="7" t="str">
        <x:v>https://image.tmdb.org/t/p/w342/cKZu0Fdkj7dmwbfMpgDqVVCkLJQ.jpg</x:v>
      </x:c>
      <x:c r="K145" s="3" t="e">
        <x:f>IMAGE(J145)</x:f>
      </x:c>
      <x:c r="L145" s="8" t="n">
        <x:v>102</x:v>
      </x:c>
      <x:c r="M145" s="46" t="str">
        <x: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x:v>
      </x:c>
      <x:c r="N145" s="2" t="n">
        <x:v>40688</x:v>
      </x:c>
      <x:c r="O145" s="2" t="str">
        <x:v>Unwatched</x:v>
      </x:c>
      <x:c r="P145" s="9"/>
      <x:c r="Q145" s="6"/>
      <x:c r="R145" s="2" t="str">
        <x:v>https://www.themoviedb.org/movie/45243</x:v>
      </x:c>
      <x:c r="S145" s="10" t="str">
        <x:v>Matched</x:v>
      </x:c>
    </x:row>
    <x:row r="146" ht="90" customHeight="1">
      <x:c r="A146" s="2" t="str">
        <x:v>The Hangover Part III (2013)</x:v>
      </x:c>
      <x:c r="B146" s="2" t="str">
        <x:v>The Hangover Part III</x:v>
      </x:c>
      <x:c r="C146" s="3" t="n">
        <x:v>2013</x:v>
      </x:c>
      <x:c r="D146" s="2" t="str">
        <x:v>Blu-ray</x:v>
      </x:c>
      <x:c r="E146" s="4"/>
      <x:c r="F146" s="3" t="n">
        <x:v>109439</x:v>
      </x:c>
      <x:c r="G146" s="5" t="n">
        <x:v>6.2</x:v>
      </x:c>
      <x:c r="H146" s="2" t="str">
        <x:v>Comedy</x:v>
      </x:c>
      <x:c r="I146" s="6" t="str">
        <x:v>/vtxuPWkdllLNLVyGjKYa267ntuH.jpg</x:v>
      </x:c>
      <x:c r="J146" s="7" t="str">
        <x:v>https://image.tmdb.org/t/p/w342/vtxuPWkdllLNLVyGjKYa267ntuH.jpg</x:v>
      </x:c>
      <x:c r="K146" s="3" t="e">
        <x:f>IMAGE(J146)</x:f>
      </x:c>
      <x:c r="L146" s="8" t="n">
        <x:v>100</x:v>
      </x:c>
      <x:c r="M146" s="46" t="str">
        <x:v>This time, there's no wedding. No bachelor party. What could go wrong, right? But when the Wolfpack hits the road, all bets are off.</x:v>
      </x:c>
      <x:c r="N146" s="2" t="n">
        <x:v>41417</x:v>
      </x:c>
      <x:c r="O146" s="2" t="str">
        <x:v>Unwatched</x:v>
      </x:c>
      <x:c r="P146" s="9"/>
      <x:c r="Q146" s="6"/>
      <x:c r="R146" s="2" t="str">
        <x:v>https://www.themoviedb.org/movie/109439</x:v>
      </x:c>
      <x:c r="S146" s="10" t="str">
        <x:v>Matched</x:v>
      </x:c>
    </x:row>
    <x:row r="147" ht="90" customHeight="1">
      <x:c r="A147" s="2" t="str">
        <x:v>Happiness (1998)</x:v>
      </x:c>
      <x:c r="B147" s="2" t="str">
        <x:v>Happiness</x:v>
      </x:c>
      <x:c r="C147" s="3" t="n">
        <x:v>1998</x:v>
      </x:c>
      <x:c r="D147" s="2" t="str">
        <x:v>Blu-ray</x:v>
      </x:c>
      <x:c r="E147" s="4"/>
      <x:c r="F147" s="3" t="n">
        <x:v>10683</x:v>
      </x:c>
      <x:c r="G147" s="5" t="n">
        <x:v>7.43</x:v>
      </x:c>
      <x:c r="H147" s="2" t="str">
        <x:v>Comedy, Drama</x:v>
      </x:c>
      <x:c r="I147" s="6" t="str">
        <x:v>/rYfUcEV88Z3gENrfYTE6i8yBkDr.jpg</x:v>
      </x:c>
      <x:c r="J147" s="7" t="str">
        <x:v>https://image.tmdb.org/t/p/w342/rYfUcEV88Z3gENrfYTE6i8yBkDr.jpg</x:v>
      </x:c>
      <x:c r="K147" s="3" t="e">
        <x:f>IMAGE(J147)</x:f>
      </x:c>
      <x:c r="L147" s="8" t="n">
        <x:v>140</x:v>
      </x:c>
      <x:c r="M147" s="46" t="str">
        <x:v>The lives of several individuals intertwine as they go about their lives in their own unique ways, engaging in acts which society as a whole might find disturbing in a desperate search for human connection.</x:v>
      </x:c>
      <x:c r="N147" s="2" t="n">
        <x:v>36079</x:v>
      </x:c>
      <x:c r="O147" s="2" t="str">
        <x:v>Unwatched</x:v>
      </x:c>
      <x:c r="P147" s="9"/>
      <x:c r="Q147" s="6"/>
      <x:c r="R147" s="2" t="str">
        <x:v>https://www.themoviedb.org/movie/10683</x:v>
      </x:c>
      <x:c r="S147" s="10" t="str">
        <x:v>Matched</x:v>
      </x:c>
    </x:row>
    <x:row r="148" ht="90" customHeight="1">
      <x:c r="A148" s="2" t="str">
        <x:v>Happy Gilmore (1996)</x:v>
      </x:c>
      <x:c r="B148" s="2" t="str">
        <x:v>Happy Gilmore</x:v>
      </x:c>
      <x:c r="C148" s="3" t="n">
        <x:v>1996</x:v>
      </x:c>
      <x:c r="D148" s="2" t="str">
        <x:v>Blu-ray</x:v>
      </x:c>
      <x:c r="E148" s="4"/>
      <x:c r="F148" s="3" t="n">
        <x:v>9614</x:v>
      </x:c>
      <x:c r="G148" s="5" t="n">
        <x:v>6.7</x:v>
      </x:c>
      <x:c r="H148" s="2" t="str">
        <x:v>Comedy</x:v>
      </x:c>
      <x:c r="I148" s="6" t="str">
        <x:v>/4RnCeRzvI1xk5tuNWjpDKzSnJDk.jpg</x:v>
      </x:c>
      <x:c r="J148" s="7" t="str">
        <x:v>https://image.tmdb.org/t/p/w342/4RnCeRzvI1xk5tuNWjpDKzSnJDk.jpg</x:v>
      </x:c>
      <x:c r="K148" s="3" t="e">
        <x:f>IMAGE(J148)</x:f>
      </x:c>
      <x:c r="L148" s="8" t="n">
        <x:v>92</x:v>
      </x:c>
      <x:c r="M148" s="46" t="str">
        <x:v>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x:v>
      </x:c>
      <x:c r="N148" s="2" t="n">
        <x:v>35111</x:v>
      </x:c>
      <x:c r="O148" s="2" t="str">
        <x:v>Unwatched</x:v>
      </x:c>
      <x:c r="P148" s="9"/>
      <x:c r="Q148" s="6"/>
      <x:c r="R148" s="2" t="str">
        <x:v>https://www.themoviedb.org/movie/9614</x:v>
      </x:c>
      <x:c r="S148" s="10" t="str">
        <x:v>Matched</x:v>
      </x:c>
    </x:row>
    <x:row r="149" ht="90" customHeight="1">
      <x:c r="A149" s="2" t="str">
        <x:v>Harold &amp; Kumar Escape from Guantanamo Bay (2008)</x:v>
      </x:c>
      <x:c r="B149" s="2" t="str">
        <x:v>Harold &amp; Kumar Escape from Guantanamo Bay</x:v>
      </x:c>
      <x:c r="C149" s="3" t="n">
        <x:v>2008</x:v>
      </x:c>
      <x:c r="D149" s="2" t="str">
        <x:v>Blu-ray</x:v>
      </x:c>
      <x:c r="E149" s="4"/>
      <x:c r="F149" s="3" t="n">
        <x:v>13335</x:v>
      </x:c>
      <x:c r="G149" s="5" t="n">
        <x:v>6.3</x:v>
      </x:c>
      <x:c r="H149" s="2" t="str">
        <x:v>Comedy, Adventure</x:v>
      </x:c>
      <x:c r="I149" s="6" t="str">
        <x:v>/gmXKlm8c8O7JEISYP4WiWq2x3We.jpg</x:v>
      </x:c>
      <x:c r="J149" s="7" t="str">
        <x:v>https://image.tmdb.org/t/p/w342/gmXKlm8c8O7JEISYP4WiWq2x3We.jpg</x:v>
      </x:c>
      <x:c r="K149" s="3" t="e">
        <x:f>IMAGE(J149)</x:f>
      </x:c>
      <x:c r="L149" s="8" t="n">
        <x:v>101</x:v>
      </x:c>
      <x:c r="M149" s="46" t="str">
        <x: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x:v>
      </x:c>
      <x:c r="N149" s="2" t="n">
        <x:v>39563</x:v>
      </x:c>
      <x:c r="O149" s="2" t="str">
        <x:v>Unwatched</x:v>
      </x:c>
      <x:c r="P149" s="9"/>
      <x:c r="Q149" s="6"/>
      <x:c r="R149" s="2" t="str">
        <x:v>https://www.themoviedb.org/movie/13335</x:v>
      </x:c>
      <x:c r="S149" s="10" t="str">
        <x:v>Matched</x:v>
      </x:c>
    </x:row>
    <x:row r="150" ht="90" customHeight="1">
      <x:c r="A150" s="2" t="str">
        <x:v>Harold &amp; Kumar Go to White Castle (2004)</x:v>
      </x:c>
      <x:c r="B150" s="2" t="str">
        <x:v>Harold &amp; Kumar Go to White Castle</x:v>
      </x:c>
      <x:c r="C150" s="3" t="n">
        <x:v>2004</x:v>
      </x:c>
      <x:c r="D150" s="2" t="str">
        <x:v>Blu-ray</x:v>
      </x:c>
      <x:c r="E150" s="4"/>
      <x:c r="F150" s="3" t="n">
        <x:v>11282</x:v>
      </x:c>
      <x:c r="G150" s="5" t="n">
        <x:v>6.558</x:v>
      </x:c>
      <x:c r="H150" s="2" t="str">
        <x:v>Comedy, Adventure</x:v>
      </x:c>
      <x:c r="I150" s="6" t="str">
        <x:v>/5vO7R4xYlDipTp8gzfRbWegO8eb.jpg</x:v>
      </x:c>
      <x:c r="J150" s="7" t="str">
        <x:v>https://image.tmdb.org/t/p/w342/5vO7R4xYlDipTp8gzfRbWegO8eb.jpg</x:v>
      </x:c>
      <x:c r="K150" s="3" t="e">
        <x:f>IMAGE(J150)</x:f>
      </x:c>
      <x:c r="L150" s="8" t="n">
        <x:v>88</x:v>
      </x:c>
      <x:c r="M150" s="46" t="str">
        <x: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x:v>
      </x:c>
      <x:c r="N150" s="2" t="n">
        <x:v>38170</x:v>
      </x:c>
      <x:c r="O150" s="2" t="str">
        <x:v>Unwatched</x:v>
      </x:c>
      <x:c r="P150" s="9"/>
      <x:c r="Q150" s="6"/>
      <x:c r="R150" s="2" t="str">
        <x:v>https://www.themoviedb.org/movie/11282</x:v>
      </x:c>
      <x:c r="S150" s="10" t="str">
        <x:v>Matched</x:v>
      </x:c>
    </x:row>
    <x:row r="151" ht="90" customHeight="1">
      <x:c r="A151" s="2" t="str">
        <x:v>The Haunting of Bly Manor (2020)</x:v>
      </x:c>
      <x:c r="B151" s="2" t="str">
        <x:v>The Haunting of Bly Manor</x:v>
      </x:c>
      <x:c r="C151" s="3" t="n">
        <x:v>2020</x:v>
      </x:c>
      <x:c r="D151" s="2" t="str">
        <x:v>Blu-ray</x:v>
      </x:c>
      <x:c r="E151" s="12"/>
      <x:c r="F151" s="7"/>
      <x:c r="G151" s="11"/>
      <x:c r="H151" s="7"/>
      <x:c r="I151" s="7"/>
      <x:c r="J151" s="7"/>
      <x:c r="K151" s="7"/>
      <x:c r="L151" s="13"/>
      <x:c r="M151" s="46"/>
      <x:c r="N151" s="2"/>
      <x:c r="O151" s="2" t="str">
        <x:v>Unwatched</x:v>
      </x:c>
      <x:c r="P151" s="9"/>
      <x:c r="Q151" s="7"/>
      <x:c r="R151" s="2"/>
      <x:c r="S151" s="10" t="str">
        <x:v>No TMDB match / check title-year</x:v>
      </x:c>
    </x:row>
    <x:row r="152" ht="90" customHeight="1">
      <x:c r="A152" s="2" t="str">
        <x:v>The Haunting of Hill House (2018)</x:v>
      </x:c>
      <x:c r="B152" s="2" t="str">
        <x:v>The Haunting of Hill House</x:v>
      </x:c>
      <x:c r="C152" s="3" t="n">
        <x:v>2018</x:v>
      </x:c>
      <x:c r="D152" s="2" t="str">
        <x:v>Blu-ray</x:v>
      </x:c>
      <x:c r="E152" s="12"/>
      <x:c r="F152" s="7"/>
      <x:c r="G152" s="11"/>
      <x:c r="H152" s="7"/>
      <x:c r="I152" s="7"/>
      <x:c r="J152" s="7"/>
      <x:c r="K152" s="7"/>
      <x:c r="L152" s="13"/>
      <x:c r="M152" s="46"/>
      <x:c r="N152" s="2"/>
      <x:c r="O152" s="2" t="str">
        <x:v>Unwatched</x:v>
      </x:c>
      <x:c r="P152" s="9"/>
      <x:c r="Q152" s="7"/>
      <x:c r="R152" s="2"/>
      <x:c r="S152" s="10" t="str">
        <x:v>No TMDB match / check title-year</x:v>
      </x:c>
    </x:row>
    <x:row r="153" ht="90" customHeight="1">
      <x:c r="A153" s="2" t="str">
        <x:v>Hell Fest (2018)</x:v>
      </x:c>
      <x:c r="B153" s="2" t="str">
        <x:v>Hell Fest</x:v>
      </x:c>
      <x:c r="C153" s="3" t="n">
        <x:v>2018</x:v>
      </x:c>
      <x:c r="D153" s="2" t="str">
        <x:v>Blu-ray</x:v>
      </x:c>
      <x:c r="E153" s="4"/>
      <x:c r="F153" s="3" t="n">
        <x:v>429476</x:v>
      </x:c>
      <x:c r="G153" s="5" t="n">
        <x:v>5.676</x:v>
      </x:c>
      <x:c r="H153" s="2" t="str">
        <x:v>Horror, Thriller</x:v>
      </x:c>
      <x:c r="I153" s="6" t="str">
        <x:v>/qgLlnlrUtTKXkdrgMBwUfkyAkya.jpg</x:v>
      </x:c>
      <x:c r="J153" s="7" t="str">
        <x:v>https://image.tmdb.org/t/p/w342/qgLlnlrUtTKXkdrgMBwUfkyAkya.jpg</x:v>
      </x:c>
      <x:c r="K153" s="3" t="e">
        <x:f>IMAGE(J153)</x:f>
      </x:c>
      <x:c r="L153" s="8" t="n">
        <x:v>89</x:v>
      </x:c>
      <x:c r="M153" s="46" t="str">
        <x:v>On Halloween night at a horror theme park, a costumed killer begins slaying innocent patrons who believe that it's all part of the festivities.</x:v>
      </x:c>
      <x:c r="N153" s="2" t="n">
        <x:v>43370</x:v>
      </x:c>
      <x:c r="O153" s="2" t="str">
        <x:v>Unwatched</x:v>
      </x:c>
      <x:c r="P153" s="9"/>
      <x:c r="Q153" s="6"/>
      <x:c r="R153" s="2" t="str">
        <x:v>https://www.themoviedb.org/movie/429476</x:v>
      </x:c>
      <x:c r="S153" s="10" t="str">
        <x:v>Matched</x:v>
      </x:c>
    </x:row>
    <x:row r="154" ht="90" customHeight="1">
      <x:c r="A154" s="2" t="str">
        <x:v>Hell House LLC II: The Abaddon Hotel (2018)</x:v>
      </x:c>
      <x:c r="B154" s="2" t="str">
        <x:v>Hell House LLC II: The Abaddon Hotel</x:v>
      </x:c>
      <x:c r="C154" s="3" t="n">
        <x:v>2018</x:v>
      </x:c>
      <x:c r="D154" s="2" t="str">
        <x:v>Blu-ray</x:v>
      </x:c>
      <x:c r="E154" s="4"/>
      <x:c r="F154" s="3" t="n">
        <x:v>532973</x:v>
      </x:c>
      <x:c r="G154" s="5" t="n">
        <x:v>5.714</x:v>
      </x:c>
      <x:c r="H154" s="2" t="str">
        <x:v>Horror, Mystery</x:v>
      </x:c>
      <x:c r="I154" s="6" t="str">
        <x:v>/sFPkQLUq8wmNOL2XMow4WF5tOpu.jpg</x:v>
      </x:c>
      <x:c r="J154" s="7" t="str">
        <x:v>https://image.tmdb.org/t/p/w342/sFPkQLUq8wmNOL2XMow4WF5tOpu.jpg</x:v>
      </x:c>
      <x:c r="K154" s="3" t="e">
        <x:f>IMAGE(J154)</x:f>
      </x:c>
      <x:c r="L154" s="8" t="n">
        <x:v>90</x:v>
      </x:c>
      <x:c r="M154" s="46" t="str">
        <x:v>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x:v>
      </x:c>
      <x:c r="N154" s="2" t="n">
        <x:v>43357</x:v>
      </x:c>
      <x:c r="O154" s="2" t="str">
        <x:v>Unwatched</x:v>
      </x:c>
      <x:c r="P154" s="9"/>
      <x:c r="Q154" s="6"/>
      <x:c r="R154" s="2" t="str">
        <x:v>https://www.themoviedb.org/movie/532973</x:v>
      </x:c>
      <x:c r="S154" s="10" t="str">
        <x:v>Matched</x:v>
      </x:c>
    </x:row>
    <x:row r="155" ht="90" customHeight="1">
      <x:c r="A155" s="2" t="str">
        <x:v>Hell House LLC III: Lake of Fire (2019)</x:v>
      </x:c>
      <x:c r="B155" s="2" t="str">
        <x:v>Hell House LLC III: Lake of Fire</x:v>
      </x:c>
      <x:c r="C155" s="3" t="n">
        <x:v>2019</x:v>
      </x:c>
      <x:c r="D155" s="2" t="str">
        <x:v>Blu-ray</x:v>
      </x:c>
      <x:c r="E155" s="4"/>
      <x:c r="F155" s="3" t="n">
        <x:v>614722</x:v>
      </x:c>
      <x:c r="G155" s="5" t="n">
        <x:v>5.199</x:v>
      </x:c>
      <x:c r="H155" s="2" t="str">
        <x:v>Horror, Mystery</x:v>
      </x:c>
      <x:c r="I155" s="6" t="str">
        <x:v>/gchygJq6AnzGFg0uYRDKn7mqsyU.jpg</x:v>
      </x:c>
      <x:c r="J155" s="7" t="str">
        <x:v>https://image.tmdb.org/t/p/w342/gchygJq6AnzGFg0uYRDKn7mqsyU.jpg</x:v>
      </x:c>
      <x:c r="K155" s="3" t="e">
        <x:f>IMAGE(J155)</x:f>
      </x:c>
      <x:c r="L155" s="8" t="n">
        <x:v>86</x:v>
      </x:c>
      <x:c r="M155" s="46" t="str">
        <x:v>Set one year after the events of Hell House LLC II, the hotel is on the verge of being torn down when it is purchased by billionaire Russell Wynn as the new home for his popular interactive show, Insomnia. He invites journalist Venessa Sheppard and her crew to record everything happening inside the hotel leading up to the performance - but they soon encounter a more nefarious plot, one that threatens to unleash a veritable hell on earth.</x:v>
      </x:c>
      <x:c r="N155" s="2" t="n">
        <x:v>43727</x:v>
      </x:c>
      <x:c r="O155" s="2" t="str">
        <x:v>Unwatched</x:v>
      </x:c>
      <x:c r="P155" s="9"/>
      <x:c r="Q155" s="6"/>
      <x:c r="R155" s="2" t="str">
        <x:v>https://www.themoviedb.org/movie/614722</x:v>
      </x:c>
      <x:c r="S155" s="10" t="str">
        <x:v>Matched</x:v>
      </x:c>
    </x:row>
    <x:row r="156" ht="90" customHeight="1">
      <x:c r="A156" s="2" t="str">
        <x:v>Hell House LLC Origins: The Carmichael Manor (2023)</x:v>
      </x:c>
      <x:c r="B156" s="2" t="str">
        <x:v>Hell House LLC Origins: The Carmichael Manor</x:v>
      </x:c>
      <x:c r="C156" s="3" t="n">
        <x:v>2023</x:v>
      </x:c>
      <x:c r="D156" s="2" t="str">
        <x:v>Blu-ray</x:v>
      </x:c>
      <x:c r="E156" s="4"/>
      <x:c r="F156" s="3" t="n">
        <x:v>1035982</x:v>
      </x:c>
      <x:c r="G156" s="5" t="n">
        <x:v>6.568</x:v>
      </x:c>
      <x:c r="H156" s="2" t="str">
        <x:v>Horror, Mystery</x:v>
      </x:c>
      <x:c r="I156" s="6" t="str">
        <x:v>/bsd1ovBNOhYpQElhlZAqpMo51q6.jpg</x:v>
      </x:c>
      <x:c r="J156" s="7" t="str">
        <x:v>https://image.tmdb.org/t/p/w342/bsd1ovBNOhYpQElhlZAqpMo51q6.jpg</x:v>
      </x:c>
      <x:c r="K156" s="3" t="e">
        <x:f>IMAGE(J156)</x:f>
      </x:c>
      <x:c r="L156" s="8" t="n">
        <x:v>98</x:v>
      </x:c>
      <x:c r="M156" s="46" t="str">
        <x:v>A group of cold case investigators stay at the Carmichael Manor, site of the grisly and unsolved murders of the Carmichael family back in the eighties. After four nights, the group was never heard from again. What is discovered on their footage is even more disturbing than anything found on the Hell House tapes.</x:v>
      </x:c>
      <x:c r="N156" s="2" t="n">
        <x:v>45223</x:v>
      </x:c>
      <x:c r="O156" s="2" t="str">
        <x:v>Unwatched</x:v>
      </x:c>
      <x:c r="P156" s="9"/>
      <x:c r="Q156" s="6"/>
      <x:c r="R156" s="2" t="str">
        <x:v>https://www.themoviedb.org/movie/1035982</x:v>
      </x:c>
      <x:c r="S156" s="10" t="str">
        <x:v>Matched</x:v>
      </x:c>
    </x:row>
    <x:row r="157" ht="90" customHeight="1">
      <x:c r="A157" s="2" t="str">
        <x:v>Hell House LLC. (2015)</x:v>
      </x:c>
      <x:c r="B157" s="2" t="str">
        <x:v>Hell House LLC.</x:v>
      </x:c>
      <x:c r="C157" s="3" t="n">
        <x:v>2015</x:v>
      </x:c>
      <x:c r="D157" s="2" t="str">
        <x:v>Blu-ray</x:v>
      </x:c>
      <x:c r="E157" s="4"/>
      <x:c r="F157" s="3" t="n">
        <x:v>359246</x:v>
      </x:c>
      <x:c r="G157" s="5" t="n">
        <x:v>6.466</x:v>
      </x:c>
      <x:c r="H157" s="2" t="str">
        <x:v>Horror, Mystery</x:v>
      </x:c>
      <x:c r="I157" s="6" t="str">
        <x:v>/xUSCQEbbAy3Lv6r00RfXtdxhRDX.jpg</x:v>
      </x:c>
      <x:c r="J157" s="7" t="str">
        <x:v>https://image.tmdb.org/t/p/w342/xUSCQEbbAy3Lv6r00RfXtdxhRDX.jpg</x:v>
      </x:c>
      <x:c r="K157" s="3" t="e">
        <x:f>IMAGE(J157)</x:f>
      </x:c>
      <x:c r="L157" s="8" t="n">
        <x:v>91</x:v>
      </x:c>
      <x:c r="M157" s="46" t="str">
        <x:v>Five years after an unexplained malfunction causes the death of 15 tour-goers and staff on the opening night of a Halloween haunted house tour, a documentary crew travels back to the scene of the tragedy to find out what really happened.</x:v>
      </x:c>
      <x:c r="N157" s="2" t="n">
        <x:v>42293</x:v>
      </x:c>
      <x:c r="O157" s="2" t="str">
        <x:v>Unwatched</x:v>
      </x:c>
      <x:c r="P157" s="9"/>
      <x:c r="Q157" s="6"/>
      <x:c r="R157" s="2" t="str">
        <x:v>https://www.themoviedb.org/movie/359246</x:v>
      </x:c>
      <x:c r="S157" s="10" t="str">
        <x:v>Matched</x:v>
      </x:c>
    </x:row>
    <x:row r="158" ht="90" customHeight="1">
      <x:c r="A158" s="2" t="str">
        <x:v>Henry: Portrait of a Serial Killer (1986)</x:v>
      </x:c>
      <x:c r="B158" s="2" t="str">
        <x:v>Henry: Portrait of a Serial Killer</x:v>
      </x:c>
      <x:c r="C158" s="3" t="n">
        <x:v>1986</x:v>
      </x:c>
      <x:c r="D158" s="2" t="str">
        <x:v>Blu-ray</x:v>
      </x:c>
      <x:c r="E158" s="4"/>
      <x:c r="F158" s="3" t="n">
        <x:v>10692</x:v>
      </x:c>
      <x:c r="G158" s="5" t="n">
        <x:v>6.737</x:v>
      </x:c>
      <x:c r="H158" s="2" t="str">
        <x:v>Crime, Horror, Thriller, Drama</x:v>
      </x:c>
      <x:c r="I158" s="6" t="str">
        <x:v>/diVMzTarVLgjc3jyODyhZMadfwD.jpg</x:v>
      </x:c>
      <x:c r="J158" s="7" t="str">
        <x:v>https://image.tmdb.org/t/p/w342/diVMzTarVLgjc3jyODyhZMadfwD.jpg</x:v>
      </x:c>
      <x:c r="K158" s="3" t="e">
        <x:f>IMAGE(J158)</x:f>
      </x:c>
      <x:c r="L158" s="8" t="n">
        <x:v>83</x:v>
      </x:c>
      <x:c r="M158" s="46" t="str">
        <x:v>Arriving in Chicago, Henry moves in with ex-con acquaintance Otis and starts schooling him in the ways of the serial killer.</x:v>
      </x:c>
      <x:c r="N158" s="2" t="n">
        <x:v>31679</x:v>
      </x:c>
      <x:c r="O158" s="2" t="str">
        <x:v>Unwatched</x:v>
      </x:c>
      <x:c r="P158" s="9"/>
      <x:c r="Q158" s="6"/>
      <x:c r="R158" s="2" t="str">
        <x:v>https://www.themoviedb.org/movie/10692</x:v>
      </x:c>
      <x:c r="S158" s="10" t="str">
        <x:v>Matched</x:v>
      </x:c>
    </x:row>
    <x:row r="159" ht="90" customHeight="1">
      <x:c r="A159" s="2" t="str">
        <x:v>Hereditary (2018)</x:v>
      </x:c>
      <x:c r="B159" s="2" t="str">
        <x:v>Hereditary</x:v>
      </x:c>
      <x:c r="C159" s="3" t="n">
        <x:v>2018</x:v>
      </x:c>
      <x:c r="D159" s="2" t="str">
        <x:v>Blu-ray</x:v>
      </x:c>
      <x:c r="E159" s="4"/>
      <x:c r="F159" s="3" t="n">
        <x:v>493922</x:v>
      </x:c>
      <x:c r="G159" s="5" t="n">
        <x:v>7.292</x:v>
      </x:c>
      <x:c r="H159" s="2" t="str">
        <x:v>Horror, Mystery, Thriller</x:v>
      </x:c>
      <x:c r="I159" s="6" t="str">
        <x:v>/hjlZSXM86wJrfCv5VKfR5DI2VeU.jpg</x:v>
      </x:c>
      <x:c r="J159" s="7" t="str">
        <x:v>https://image.tmdb.org/t/p/w342/hjlZSXM86wJrfCv5VKfR5DI2VeU.jpg</x:v>
      </x:c>
      <x:c r="K159" s="3" t="e">
        <x:f>IMAGE(J159)</x:f>
      </x:c>
      <x:c r="L159" s="8" t="n">
        <x:v>128</x:v>
      </x:c>
      <x:c r="M159" s="46" t="str">
        <x:v>Following the death of the Leigh family matriarch, Annie and her children uncover disturbing secrets about their heritage. Their daily lives are not only impacted, but they also become entangled in a chilling fate from which they cannot escape, driving them to the brink of madness.</x:v>
      </x:c>
      <x:c r="N159" s="2" t="n">
        <x:v>43258</x:v>
      </x:c>
      <x:c r="O159" s="2" t="str">
        <x:v>Unwatched</x:v>
      </x:c>
      <x:c r="P159" s="9"/>
      <x:c r="Q159" s="6"/>
      <x:c r="R159" s="2" t="str">
        <x:v>https://www.themoviedb.org/movie/493922</x:v>
      </x:c>
      <x:c r="S159" s="10" t="str">
        <x:v>Matched</x:v>
      </x:c>
    </x:row>
    <x:row r="160" ht="90" customHeight="1">
      <x:c r="A160" s="2" t="str">
        <x:v>Heretic (2024)</x:v>
      </x:c>
      <x:c r="B160" s="2" t="str">
        <x:v>Heretic</x:v>
      </x:c>
      <x:c r="C160" s="3" t="n">
        <x:v>2024</x:v>
      </x:c>
      <x:c r="D160" s="2" t="str">
        <x:v>Blu-ray</x:v>
      </x:c>
      <x:c r="E160" s="4"/>
      <x:c r="F160" s="3" t="n">
        <x:v>1138194</x:v>
      </x:c>
      <x:c r="G160" s="5" t="n">
        <x:v>6.97</x:v>
      </x:c>
      <x:c r="H160" s="2" t="str">
        <x:v>Thriller, Horror</x:v>
      </x:c>
      <x:c r="I160" s="6" t="str">
        <x:v>/fr96XzlzsONrQrGfdLMiwtQjott.jpg</x:v>
      </x:c>
      <x:c r="J160" s="7" t="str">
        <x:v>https://image.tmdb.org/t/p/w342/fr96XzlzsONrQrGfdLMiwtQjott.jpg</x:v>
      </x:c>
      <x:c r="K160" s="3" t="e">
        <x:f>IMAGE(J160)</x:f>
      </x:c>
      <x:c r="L160" s="8" t="n">
        <x:v>111</x:v>
      </x:c>
      <x:c r="M160" s="46" t="str">
        <x:v>Two young missionaries are forced to prove their faith when they knock on the wrong door and are greeted by a diabolical Mr. Reed, becoming ensnared in his deadly game of cat-and-mouse.</x:v>
      </x:c>
      <x:c r="N160" s="2" t="n">
        <x:v>45596</x:v>
      </x:c>
      <x:c r="O160" s="2" t="str">
        <x:v>Unwatched</x:v>
      </x:c>
      <x:c r="P160" s="9"/>
      <x:c r="Q160" s="6"/>
      <x:c r="R160" s="2" t="str">
        <x:v>https://www.themoviedb.org/movie/1138194</x:v>
      </x:c>
      <x:c r="S160" s="10" t="str">
        <x:v>Matched</x:v>
      </x:c>
    </x:row>
    <x:row r="161" ht="90" customHeight="1">
      <x:c r="A161" s="2" t="str">
        <x:v>High Tension (2003)</x:v>
      </x:c>
      <x:c r="B161" s="2" t="str">
        <x:v>High Tension</x:v>
      </x:c>
      <x:c r="C161" s="3" t="n">
        <x:v>2003</x:v>
      </x:c>
      <x:c r="D161" s="2" t="str">
        <x:v>Blu-ray</x:v>
      </x:c>
      <x:c r="E161" s="4"/>
      <x:c r="F161" s="3" t="n">
        <x:v>10226</x:v>
      </x:c>
      <x:c r="G161" s="5" t="n">
        <x:v>6.764</x:v>
      </x:c>
      <x:c r="H161" s="2" t="str">
        <x:v>Horror, Thriller, Mystery</x:v>
      </x:c>
      <x:c r="I161" s="6" t="str">
        <x:v>/vKeFa7CqSxmWsQDjHP6SJXKoDbj.jpg</x:v>
      </x:c>
      <x:c r="J161" s="7" t="str">
        <x:v>https://image.tmdb.org/t/p/w342/vKeFa7CqSxmWsQDjHP6SJXKoDbj.jpg</x:v>
      </x:c>
      <x:c r="K161" s="3" t="e">
        <x:f>IMAGE(J161)</x:f>
      </x:c>
      <x:c r="L161" s="8" t="n">
        <x:v>91</x:v>
      </x:c>
      <x:c r="M161" s="46" t="str">
        <x:v>Best friends Marie and Alexia decide to spend a quiet weekend at Alexia's parents' secluded farmhouse. But on the night of their arrival, the girls' idyllic getaway turns into an endless night of horror.</x:v>
      </x:c>
      <x:c r="N161" s="2" t="n">
        <x:v>37790</x:v>
      </x:c>
      <x:c r="O161" s="2" t="str">
        <x:v>Unwatched</x:v>
      </x:c>
      <x:c r="P161" s="9"/>
      <x:c r="Q161" s="6"/>
      <x:c r="R161" s="2" t="str">
        <x:v>https://www.themoviedb.org/movie/10226</x:v>
      </x:c>
      <x:c r="S161" s="10" t="str">
        <x:v>Matched</x:v>
      </x:c>
    </x:row>
    <x:row r="162" ht="90" customHeight="1">
      <x:c r="A162" s="2" t="str">
        <x:v>The Hills Have Eyes (2006)</x:v>
      </x:c>
      <x:c r="B162" s="2" t="str">
        <x:v>The Hills Have Eyes</x:v>
      </x:c>
      <x:c r="C162" s="3" t="n">
        <x:v>2006</x:v>
      </x:c>
      <x:c r="D162" s="2" t="str">
        <x:v>Blu-ray, Blu-ray</x:v>
      </x:c>
      <x:c r="E162" s="4"/>
      <x:c r="F162" s="3" t="n">
        <x:v>9792</x:v>
      </x:c>
      <x:c r="G162" s="5" t="n">
        <x:v>6.463</x:v>
      </x:c>
      <x:c r="H162" s="2" t="str">
        <x:v>Horror, Thriller</x:v>
      </x:c>
      <x:c r="I162" s="6" t="str">
        <x:v>/2eJL1Ccr1FN3dm9OSDwyd8uaX1b.jpg</x:v>
      </x:c>
      <x:c r="J162" s="7" t="str">
        <x:v>https://image.tmdb.org/t/p/w342/2eJL1Ccr1FN3dm9OSDwyd8uaX1b.jpg</x:v>
      </x:c>
      <x:c r="K162" s="3" t="e">
        <x:f>IMAGE(J162)</x:f>
      </x:c>
      <x:c r="L162" s="8" t="n">
        <x:v>107</x:v>
      </x:c>
      <x:c r="M162" s="46" t="str">
        <x: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x:v>
      </x:c>
      <x:c r="N162" s="2" t="n">
        <x:v>38786</x:v>
      </x:c>
      <x:c r="O162" s="2" t="str">
        <x:v>Unwatched</x:v>
      </x:c>
      <x:c r="P162" s="9"/>
      <x:c r="Q162" s="6"/>
      <x:c r="R162" s="2" t="str">
        <x:v>https://www.themoviedb.org/movie/9792</x:v>
      </x:c>
      <x:c r="S162" s="10" t="str">
        <x:v>Matched</x:v>
      </x:c>
    </x:row>
    <x:row r="163" ht="90" customHeight="1">
      <x:c r="A163" s="2" t="str">
        <x:v>The Hills Have Eyes 2 (2007)</x:v>
      </x:c>
      <x:c r="B163" s="2" t="str">
        <x:v>The Hills Have Eyes 2</x:v>
      </x:c>
      <x:c r="C163" s="3" t="n">
        <x:v>2007</x:v>
      </x:c>
      <x:c r="D163" s="2" t="str">
        <x:v>Blu-ray, Blu-ray</x:v>
      </x:c>
      <x:c r="E163" s="4"/>
      <x:c r="F163" s="3" t="n">
        <x:v>9793</x:v>
      </x:c>
      <x:c r="G163" s="5" t="n">
        <x:v>5.571</x:v>
      </x:c>
      <x:c r="H163" s="2" t="str">
        <x:v>Horror</x:v>
      </x:c>
      <x:c r="I163" s="6" t="str">
        <x:v>/3SX2UGSmAjIZsVACpshPpKtjbDr.jpg</x:v>
      </x:c>
      <x:c r="J163" s="7" t="str">
        <x:v>https://image.tmdb.org/t/p/w342/3SX2UGSmAjIZsVACpshPpKtjbDr.jpg</x:v>
      </x:c>
      <x:c r="K163" s="3" t="e">
        <x:f>IMAGE(J163)</x:f>
      </x:c>
      <x:c r="L163" s="8" t="n">
        <x:v>89</x:v>
      </x:c>
      <x:c r="M163" s="46" t="str">
        <x:v>A group of National Guard trainees on a routine mission find themselves up against cannibalistic mutants in the New Mexico desert.</x:v>
      </x:c>
      <x:c r="N163" s="2" t="n">
        <x:v>39163</x:v>
      </x:c>
      <x:c r="O163" s="2" t="str">
        <x:v>Unwatched</x:v>
      </x:c>
      <x:c r="P163" s="9"/>
      <x:c r="Q163" s="6"/>
      <x:c r="R163" s="2" t="str">
        <x:v>https://www.themoviedb.org/movie/9793</x:v>
      </x:c>
      <x:c r="S163" s="10" t="str">
        <x:v>Matched</x:v>
      </x:c>
    </x:row>
    <x:row r="164" ht="90" customHeight="1">
      <x:c r="A164" s="2" t="str">
        <x:v>The Hills Run Red (2009)</x:v>
      </x:c>
      <x:c r="B164" s="2" t="str">
        <x:v>The Hills Run Red</x:v>
      </x:c>
      <x:c r="C164" s="3" t="n">
        <x:v>2009</x:v>
      </x:c>
      <x:c r="D164" s="2" t="str">
        <x:v>Blu-ray</x:v>
      </x:c>
      <x:c r="E164" s="4"/>
      <x:c r="F164" s="3" t="n">
        <x:v>24001</x:v>
      </x:c>
      <x:c r="G164" s="5" t="n">
        <x:v>5.765</x:v>
      </x:c>
      <x:c r="H164" s="2" t="str">
        <x:v>Horror, Thriller</x:v>
      </x:c>
      <x:c r="I164" s="6" t="str">
        <x:v>/odPuG8mbDF12uMAQ5K4LuebtyUo.jpg</x:v>
      </x:c>
      <x:c r="J164" s="7" t="str">
        <x:v>https://image.tmdb.org/t/p/w342/odPuG8mbDF12uMAQ5K4LuebtyUo.jpg</x:v>
      </x:c>
      <x:c r="K164" s="3" t="e">
        <x:f>IMAGE(J164)</x:f>
      </x:c>
      <x:c r="L164" s="8" t="n">
        <x:v>81</x:v>
      </x:c>
      <x:c r="M164" s="46" t="str">
        <x:v>A group of young horror fans go searching for a film that mysteriously vanished years ago but instead find that the demented killer from the movie is real, and he's thrilled to meet fans who will die gruesomely for his art.</x:v>
      </x:c>
      <x:c r="N164" s="2" t="n">
        <x:v>40085</x:v>
      </x:c>
      <x:c r="O164" s="2" t="str">
        <x:v>Unwatched</x:v>
      </x:c>
      <x:c r="P164" s="9"/>
      <x:c r="Q164" s="6"/>
      <x:c r="R164" s="2" t="str">
        <x:v>https://www.themoviedb.org/movie/24001</x:v>
      </x:c>
      <x:c r="S164" s="10" t="str">
        <x:v>Matched</x:v>
      </x:c>
    </x:row>
    <x:row r="165" ht="90" customHeight="1">
      <x:c r="A165" s="2" t="str">
        <x:v>The Hobbit: An Unexpected Journey (2012)</x:v>
      </x:c>
      <x:c r="B165" s="2" t="str">
        <x:v>The Hobbit: An Unexpected Journey</x:v>
      </x:c>
      <x:c r="C165" s="3" t="n">
        <x:v>2012</x:v>
      </x:c>
      <x:c r="D165" s="2" t="str">
        <x:v>Blu-ray</x:v>
      </x:c>
      <x:c r="E165" s="4"/>
      <x:c r="F165" s="3" t="n">
        <x:v>49051</x:v>
      </x:c>
      <x:c r="G165" s="5" t="n">
        <x:v>7.374</x:v>
      </x:c>
      <x:c r="H165" s="2" t="str">
        <x:v>Adventure, Fantasy, Action</x:v>
      </x:c>
      <x:c r="I165" s="6" t="str">
        <x:v>/yHA9Fc37VmpUA5UncTxxo3rTGVA.jpg</x:v>
      </x:c>
      <x:c r="J165" s="7" t="str">
        <x:v>https://image.tmdb.org/t/p/w342/yHA9Fc37VmpUA5UncTxxo3rTGVA.jpg</x:v>
      </x:c>
      <x:c r="K165" s="3" t="e">
        <x:f>IMAGE(J165)</x:f>
      </x:c>
      <x:c r="L165" s="8" t="n">
        <x:v>169</x:v>
      </x:c>
      <x:c r="M165" s="46" t="str">
        <x:v>Bilbo Baggins, a hobbit enjoying his quiet life, is swept into an epic quest by Gandalf the Grey and thirteen dwarves who seek to reclaim their mountain home from Smaug, the dragon.</x:v>
      </x:c>
      <x:c r="N165" s="2" t="n">
        <x:v>41255</x:v>
      </x:c>
      <x:c r="O165" s="2" t="str">
        <x:v>Unwatched</x:v>
      </x:c>
      <x:c r="P165" s="9"/>
      <x:c r="Q165" s="6"/>
      <x:c r="R165" s="2" t="str">
        <x:v>https://www.themoviedb.org/movie/49051</x:v>
      </x:c>
      <x:c r="S165" s="10" t="str">
        <x:v>Matched</x:v>
      </x:c>
    </x:row>
    <x:row r="166" ht="90" customHeight="1">
      <x:c r="A166" s="2" t="str">
        <x:v>The Hobbit: The Battle of the Five Armies (2014)</x:v>
      </x:c>
      <x:c r="B166" s="2" t="str">
        <x:v>The Hobbit: The Battle of the Five Armies</x:v>
      </x:c>
      <x:c r="C166" s="3" t="n">
        <x:v>2014</x:v>
      </x:c>
      <x:c r="D166" s="2" t="str">
        <x:v>Blu-ray</x:v>
      </x:c>
      <x:c r="E166" s="4"/>
      <x:c r="F166" s="3" t="n">
        <x:v>122917</x:v>
      </x:c>
      <x:c r="G166" s="5" t="n">
        <x:v>7.334</x:v>
      </x:c>
      <x:c r="H166" s="2" t="str">
        <x:v>Action, Adventure, Fantasy</x:v>
      </x:c>
      <x:c r="I166" s="6" t="str">
        <x:v>/xT98tLqatZPQApyRmlPL12LtiWp.jpg</x:v>
      </x:c>
      <x:c r="J166" s="7" t="str">
        <x:v>https://image.tmdb.org/t/p/w342/xT98tLqatZPQApyRmlPL12LtiWp.jpg</x:v>
      </x:c>
      <x:c r="K166" s="3" t="e">
        <x:f>IMAGE(J166)</x:f>
      </x:c>
      <x:c r="L166" s="8" t="n">
        <x:v>144</x:v>
      </x:c>
      <x:c r="M166" s="46" t="str">
        <x:v>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x:v>
      </x:c>
      <x:c r="N166" s="2" t="n">
        <x:v>41983</x:v>
      </x:c>
      <x:c r="O166" s="2" t="str">
        <x:v>Unwatched</x:v>
      </x:c>
      <x:c r="P166" s="9"/>
      <x:c r="Q166" s="6"/>
      <x:c r="R166" s="2" t="str">
        <x:v>https://www.themoviedb.org/movie/122917</x:v>
      </x:c>
      <x:c r="S166" s="10" t="str">
        <x:v>Matched</x:v>
      </x:c>
    </x:row>
    <x:row r="167" ht="90" customHeight="1">
      <x:c r="A167" s="2" t="str">
        <x:v>The Hobbit: The Desolation of Smaug (2013)</x:v>
      </x:c>
      <x:c r="B167" s="2" t="str">
        <x:v>The Hobbit: The Desolation of Smaug</x:v>
      </x:c>
      <x:c r="C167" s="3" t="n">
        <x:v>2013</x:v>
      </x:c>
      <x:c r="D167" s="2" t="str">
        <x:v>Blu-ray</x:v>
      </x:c>
      <x:c r="E167" s="4"/>
      <x:c r="F167" s="3" t="n">
        <x:v>57158</x:v>
      </x:c>
      <x:c r="G167" s="5" t="n">
        <x:v>7.578</x:v>
      </x:c>
      <x:c r="H167" s="2" t="str">
        <x:v>Fantasy, Adventure, Action</x:v>
      </x:c>
      <x:c r="I167" s="6" t="str">
        <x:v>/xQYiXsheRCDBA39DOrmaw1aSpbk.jpg</x:v>
      </x:c>
      <x:c r="J167" s="7" t="str">
        <x:v>https://image.tmdb.org/t/p/w342/xQYiXsheRCDBA39DOrmaw1aSpbk.jpg</x:v>
      </x:c>
      <x:c r="K167" s="3" t="e">
        <x:f>IMAGE(J167)</x:f>
      </x:c>
      <x:c r="L167" s="8" t="n">
        <x:v>161</x:v>
      </x:c>
      <x:c r="M167" s="46" t="str">
        <x:v>The Dwarves, Bilbo and Gandalf have successfully escaped the Misty Mountains, and Bilbo has gained the One Ring. They all continue their journey to get their gold back from the Dragon, Smaug.</x:v>
      </x:c>
      <x:c r="N167" s="2" t="n">
        <x:v>41619</x:v>
      </x:c>
      <x:c r="O167" s="2" t="str">
        <x:v>Unwatched</x:v>
      </x:c>
      <x:c r="P167" s="9"/>
      <x:c r="Q167" s="6"/>
      <x:c r="R167" s="2" t="str">
        <x:v>https://www.themoviedb.org/movie/57158</x:v>
      </x:c>
      <x:c r="S167" s="10" t="str">
        <x:v>Matched</x:v>
      </x:c>
    </x:row>
    <x:row r="168" ht="90" customHeight="1">
      <x:c r="A168" s="2" t="str">
        <x:v>Horrible Bosses (2011)</x:v>
      </x:c>
      <x:c r="B168" s="2" t="str">
        <x:v>Horrible Bosses</x:v>
      </x:c>
      <x:c r="C168" s="3" t="n">
        <x:v>2011</x:v>
      </x:c>
      <x:c r="D168" s="2" t="str">
        <x:v>Blu-ray</x:v>
      </x:c>
      <x:c r="E168" s="4"/>
      <x:c r="F168" s="3" t="n">
        <x:v>51540</x:v>
      </x:c>
      <x:c r="G168" s="5" t="n">
        <x:v>6.573</x:v>
      </x:c>
      <x:c r="H168" s="2" t="str">
        <x:v>Comedy, Crime</x:v>
      </x:c>
      <x:c r="I168" s="6" t="str">
        <x:v>/uQkUwgyFHAm0jGQERPG6Z9o9Zbj.jpg</x:v>
      </x:c>
      <x:c r="J168" s="7" t="str">
        <x:v>https://image.tmdb.org/t/p/w342/uQkUwgyFHAm0jGQERPG6Z9o9Zbj.jpg</x:v>
      </x:c>
      <x:c r="K168" s="3" t="e">
        <x:f>IMAGE(J168)</x:f>
      </x:c>
      <x:c r="L168" s="8" t="n">
        <x:v>98</x:v>
      </x:c>
      <x:c r="M168" s="46" t="str">
        <x: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x:v>
      </x:c>
      <x:c r="N168" s="2" t="n">
        <x:v>40732</x:v>
      </x:c>
      <x:c r="O168" s="2" t="str">
        <x:v>Unwatched</x:v>
      </x:c>
      <x:c r="P168" s="9"/>
      <x:c r="Q168" s="6"/>
      <x:c r="R168" s="2" t="str">
        <x:v>https://www.themoviedb.org/movie/51540</x:v>
      </x:c>
      <x:c r="S168" s="10" t="str">
        <x:v>Matched</x:v>
      </x:c>
    </x:row>
    <x:row r="169" ht="90" customHeight="1">
      <x:c r="A169" s="2" t="str">
        <x:v>Hostel (2005)</x:v>
      </x:c>
      <x:c r="B169" s="2" t="str">
        <x:v>Hostel</x:v>
      </x:c>
      <x:c r="C169" s="3" t="n">
        <x:v>2005</x:v>
      </x:c>
      <x:c r="D169" s="2" t="str">
        <x:v>Blu-ray</x:v>
      </x:c>
      <x:c r="E169" s="4"/>
      <x:c r="F169" s="3" t="n">
        <x:v>153188</x:v>
      </x:c>
      <x:c r="G169" s="5" t="n">
        <x:v>3</x:v>
      </x:c>
      <x:c r="H169" s="2" t="str">
        <x:v>Horror</x:v>
      </x:c>
      <x:c r="I169" s="6" t="str">
        <x:v>/cdY2pYMAoHIlfi4tSNyAvPaUeB2.jpg</x:v>
      </x:c>
      <x:c r="J169" s="7" t="str">
        <x:v>https://image.tmdb.org/t/p/w342/cdY2pYMAoHIlfi4tSNyAvPaUeB2.jpg</x:v>
      </x:c>
      <x:c r="K169" s="3" t="e">
        <x:f>IMAGE(J169)</x:f>
      </x:c>
      <x:c r="L169" s="8" t="n">
        <x:v>88</x:v>
      </x:c>
      <x:c r="M169" s="46" t="str">
        <x:v>After enrolling in an experimental study on Rage Impulse Disorder at the Straun Foundation, Michael Dare discovers that the research is not what it seems. After learning that the Foundation's head, Dr. Timothy Straun has his own agenda for them, Dare and head resident Dr. Susan Verger team up to stop him. Straun's shocking family secret and twisted plan are then revealed in a stunning finale.</x:v>
      </x:c>
      <x:c r="N169" s="2" t="n">
        <x:v>38353</x:v>
      </x:c>
      <x:c r="O169" s="2" t="str">
        <x:v>Unwatched</x:v>
      </x:c>
      <x:c r="P169" s="9"/>
      <x:c r="Q169" s="6"/>
      <x:c r="R169" s="2" t="str">
        <x:v>https://www.themoviedb.org/movie/153188</x:v>
      </x:c>
      <x:c r="S169" s="10" t="str">
        <x:v>Matched</x:v>
      </x:c>
    </x:row>
    <x:row r="170" ht="90" customHeight="1">
      <x:c r="A170" s="2" t="str">
        <x:v>Hostel: Part II (2007)</x:v>
      </x:c>
      <x:c r="B170" s="2" t="str">
        <x:v>Hostel: Part II</x:v>
      </x:c>
      <x:c r="C170" s="3" t="n">
        <x:v>2007</x:v>
      </x:c>
      <x:c r="D170" s="2" t="str">
        <x:v>Blu-ray</x:v>
      </x:c>
      <x:c r="E170" s="4"/>
      <x:c r="F170" s="3" t="n">
        <x:v>1691</x:v>
      </x:c>
      <x:c r="G170" s="5" t="n">
        <x:v>5.854</x:v>
      </x:c>
      <x:c r="H170" s="2" t="str">
        <x:v>Horror</x:v>
      </x:c>
      <x:c r="I170" s="6" t="str">
        <x:v>/qB20aiY8Ah3pQikkBxm3j7jQVc8.jpg</x:v>
      </x:c>
      <x:c r="J170" s="7" t="str">
        <x:v>https://image.tmdb.org/t/p/w342/qB20aiY8Ah3pQikkBxm3j7jQVc8.jpg</x:v>
      </x:c>
      <x:c r="K170" s="3" t="e">
        <x:f>IMAGE(J170)</x:f>
      </x:c>
      <x:c r="L170" s="8" t="n">
        <x:v>93</x:v>
      </x:c>
      <x:c r="M170" s="46" t="str">
        <x:v>Three American college students studying abroad are lured to a Slovakian hostel, and discover the grim reality behind it.</x:v>
      </x:c>
      <x:c r="N170" s="2" t="n">
        <x:v>39240</x:v>
      </x:c>
      <x:c r="O170" s="2" t="str">
        <x:v>Unwatched</x:v>
      </x:c>
      <x:c r="P170" s="9"/>
      <x:c r="Q170" s="6"/>
      <x:c r="R170" s="2" t="str">
        <x:v>https://www.themoviedb.org/movie/1691</x:v>
      </x:c>
      <x:c r="S170" s="10" t="str">
        <x:v>Matched</x:v>
      </x:c>
    </x:row>
    <x:row r="171" ht="90" customHeight="1">
      <x:c r="A171" s="2" t="str">
        <x:v>Hot Tub Time Machine (2010)</x:v>
      </x:c>
      <x:c r="B171" s="2" t="str">
        <x:v>Hot Tub Time Machine</x:v>
      </x:c>
      <x:c r="C171" s="3" t="n">
        <x:v>2010</x:v>
      </x:c>
      <x:c r="D171" s="2" t="str">
        <x:v>Blu-ray</x:v>
      </x:c>
      <x:c r="E171" s="4"/>
      <x:c r="F171" s="3" t="n">
        <x:v>23048</x:v>
      </x:c>
      <x:c r="G171" s="5" t="n">
        <x:v>6</x:v>
      </x:c>
      <x:c r="H171" s="2" t="str">
        <x:v>Science Fiction, Comedy, Adventure</x:v>
      </x:c>
      <x:c r="I171" s="6" t="str">
        <x:v>/wjzbVXAes1acbh6k4OO5xVfy5.jpg</x:v>
      </x:c>
      <x:c r="J171" s="7" t="str">
        <x:v>https://image.tmdb.org/t/p/w342/wjzbVXAes1acbh6k4OO5xVfy5.jpg</x:v>
      </x:c>
      <x:c r="K171" s="3" t="e">
        <x:f>IMAGE(J171)</x:f>
      </x:c>
      <x:c r="L171" s="8" t="n">
        <x:v>101</x:v>
      </x:c>
      <x:c r="M171" s="46" t="str">
        <x:v>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x:v>
      </x:c>
      <x:c r="N171" s="2" t="n">
        <x:v>40263</x:v>
      </x:c>
      <x:c r="O171" s="2" t="str">
        <x:v>Unwatched</x:v>
      </x:c>
      <x:c r="P171" s="9"/>
      <x:c r="Q171" s="6"/>
      <x:c r="R171" s="2" t="str">
        <x:v>https://www.themoviedb.org/movie/23048</x:v>
      </x:c>
      <x:c r="S171" s="10" t="str">
        <x:v>Matched</x:v>
      </x:c>
    </x:row>
    <x:row r="172" ht="90" customHeight="1">
      <x:c r="A172" s="2" t="str">
        <x:v>House of 1000 Corpses (2003)</x:v>
      </x:c>
      <x:c r="B172" s="2" t="str">
        <x:v>House of 1000 Corpses</x:v>
      </x:c>
      <x:c r="C172" s="3" t="n">
        <x:v>2003</x:v>
      </x:c>
      <x:c r="D172" s="2" t="str">
        <x:v>Blu-ray</x:v>
      </x:c>
      <x:c r="E172" s="4"/>
      <x:c r="F172" s="3" t="n">
        <x:v>2662</x:v>
      </x:c>
      <x:c r="G172" s="5" t="n">
        <x:v>6.2</x:v>
      </x:c>
      <x:c r="H172" s="2" t="str">
        <x:v>Horror</x:v>
      </x:c>
      <x:c r="I172" s="6" t="str">
        <x:v>/29c2qgXmSREosLBevOILEuMWzQC.jpg</x:v>
      </x:c>
      <x:c r="J172" s="7" t="str">
        <x:v>https://image.tmdb.org/t/p/w342/29c2qgXmSREosLBevOILEuMWzQC.jpg</x:v>
      </x:c>
      <x:c r="K172" s="3" t="e">
        <x:f>IMAGE(J172)</x:f>
      </x:c>
      <x:c r="L172" s="8" t="n">
        <x:v>89</x:v>
      </x:c>
      <x:c r="M172" s="46" t="str">
        <x:v>Two teenage couples traveling across the backwoods of Texas searching for urban legends of serial killers end up as prisoners of a bizarre and sadistic backwater family of serial killers.</x:v>
      </x:c>
      <x:c r="N172" s="2" t="n">
        <x:v>37722</x:v>
      </x:c>
      <x:c r="O172" s="2" t="str">
        <x:v>Unwatched</x:v>
      </x:c>
      <x:c r="P172" s="9"/>
      <x:c r="Q172" s="6"/>
      <x:c r="R172" s="2" t="str">
        <x:v>https://www.themoviedb.org/movie/2662</x:v>
      </x:c>
      <x:c r="S172" s="10" t="str">
        <x:v>Matched</x:v>
      </x:c>
    </x:row>
    <x:row r="173" ht="90" customHeight="1">
      <x:c r="A173" s="2" t="str">
        <x:v>House of Wax (2005)</x:v>
      </x:c>
      <x:c r="B173" s="2" t="str">
        <x:v>House of Wax</x:v>
      </x:c>
      <x:c r="C173" s="3" t="n">
        <x:v>2005</x:v>
      </x:c>
      <x:c r="D173" s="2" t="str">
        <x:v>Blu-ray</x:v>
      </x:c>
      <x:c r="E173" s="4"/>
      <x:c r="F173" s="3" t="n">
        <x:v>10066</x:v>
      </x:c>
      <x:c r="G173" s="5" t="n">
        <x:v>6.029</x:v>
      </x:c>
      <x:c r="H173" s="2" t="str">
        <x:v>Horror, Thriller, Mystery</x:v>
      </x:c>
      <x:c r="I173" s="6" t="str">
        <x:v>/aCLSgw1DaqkRvosYc3YUttBTtpT.jpg</x:v>
      </x:c>
      <x:c r="J173" s="7" t="str">
        <x:v>https://image.tmdb.org/t/p/w342/aCLSgw1DaqkRvosYc3YUttBTtpT.jpg</x:v>
      </x:c>
      <x:c r="K173" s="3" t="e">
        <x:f>IMAGE(J173)</x:f>
      </x:c>
      <x:c r="L173" s="8" t="n">
        <x:v>113</x:v>
      </x:c>
      <x:c r="M173" s="46" t="str">
        <x:v>A group of unwitting teens are stranded near a strange wax museum and soon must fight to survive and keep from becoming the next exhibit.</x:v>
      </x:c>
      <x:c r="N173" s="2" t="n">
        <x:v>38477</x:v>
      </x:c>
      <x:c r="O173" s="2" t="str">
        <x:v>Unwatched</x:v>
      </x:c>
      <x:c r="P173" s="9"/>
      <x:c r="Q173" s="6"/>
      <x:c r="R173" s="2" t="str">
        <x:v>https://www.themoviedb.org/movie/10066</x:v>
      </x:c>
      <x:c r="S173" s="10" t="str">
        <x:v>Matched</x:v>
      </x:c>
    </x:row>
    <x:row r="174" ht="90" customHeight="1">
      <x:c r="A174" s="2" t="str">
        <x:v>The House That Jack Built (2018)</x:v>
      </x:c>
      <x:c r="B174" s="2" t="str">
        <x:v>The House That Jack Built</x:v>
      </x:c>
      <x:c r="C174" s="3" t="n">
        <x:v>2018</x:v>
      </x:c>
      <x:c r="D174" s="2" t="str">
        <x:v>Blu-ray</x:v>
      </x:c>
      <x:c r="E174" s="4"/>
      <x:c r="F174" s="3" t="n">
        <x:v>398173</x:v>
      </x:c>
      <x:c r="G174" s="5" t="n">
        <x:v>7.1</x:v>
      </x:c>
      <x:c r="H174" s="2" t="str">
        <x:v>Drama, Horror, Crime, Thriller</x:v>
      </x:c>
      <x:c r="I174" s="6" t="str">
        <x:v>/bMUGNkPaHOurcBK9g3XpJx3fxuO.jpg</x:v>
      </x:c>
      <x:c r="J174" s="7" t="str">
        <x:v>https://image.tmdb.org/t/p/w342/bMUGNkPaHOurcBK9g3XpJx3fxuO.jpg</x:v>
      </x:c>
      <x:c r="K174" s="3" t="e">
        <x:f>IMAGE(J174)</x:f>
      </x:c>
      <x:c r="L174" s="8" t="n">
        <x:v>152</x:v>
      </x:c>
      <x:c r="M174" s="46" t="str">
        <x:v>Failed architect, engineer and vicious murderer Jack narrates the details of some of his most elaborately orchestrated crimes, each of them a towering piece of art that defines his life's work as a serial killer for twelve years.</x:v>
      </x:c>
      <x:c r="N174" s="2" t="n">
        <x:v>43377</x:v>
      </x:c>
      <x:c r="O174" s="2" t="str">
        <x:v>Unwatched</x:v>
      </x:c>
      <x:c r="P174" s="9"/>
      <x:c r="Q174" s="6"/>
      <x:c r="R174" s="2" t="str">
        <x:v>https://www.themoviedb.org/movie/398173</x:v>
      </x:c>
      <x:c r="S174" s="10" t="str">
        <x:v>Matched</x:v>
      </x:c>
    </x:row>
    <x:row r="175" ht="90" customHeight="1">
      <x:c r="A175" s="2" t="str">
        <x:v>The Houses October Built (2014)</x:v>
      </x:c>
      <x:c r="B175" s="2" t="str">
        <x:v>The Houses October Built</x:v>
      </x:c>
      <x:c r="C175" s="3" t="n">
        <x:v>2014</x:v>
      </x:c>
      <x:c r="D175" s="2" t="str">
        <x:v>Blu-ray</x:v>
      </x:c>
      <x:c r="E175" s="4"/>
      <x:c r="F175" s="3" t="n">
        <x:v>293572</x:v>
      </x:c>
      <x:c r="G175" s="5" t="n">
        <x:v>4.958</x:v>
      </x:c>
      <x:c r="H175" s="2" t="str">
        <x:v>Horror, Thriller</x:v>
      </x:c>
      <x:c r="I175" s="6" t="str">
        <x:v>/yGTHvZE1ggog8w06kqg1HyTANjT.jpg</x:v>
      </x:c>
      <x:c r="J175" s="7" t="str">
        <x:v>https://image.tmdb.org/t/p/w342/yGTHvZE1ggog8w06kqg1HyTANjT.jpg</x:v>
      </x:c>
      <x:c r="K175" s="3" t="e">
        <x:f>IMAGE(J175)</x:f>
      </x:c>
      <x:c r="L175" s="8" t="n">
        <x:v>91</x:v>
      </x:c>
      <x:c r="M175" s="46" t="str">
        <x:v>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x:v>
      </x:c>
      <x:c r="N175" s="2" t="n">
        <x:v>41922</x:v>
      </x:c>
      <x:c r="O175" s="2" t="str">
        <x:v>Unwatched</x:v>
      </x:c>
      <x:c r="P175" s="9"/>
      <x:c r="Q175" s="6"/>
      <x:c r="R175" s="2" t="str">
        <x:v>https://www.themoviedb.org/movie/293572</x:v>
      </x:c>
      <x:c r="S175" s="10" t="str">
        <x:v>Matched</x:v>
      </x:c>
    </x:row>
    <x:row r="176" ht="90" customHeight="1">
      <x:c r="A176" s="2" t="str">
        <x:v>The Houses October Built 2 (2017)</x:v>
      </x:c>
      <x:c r="B176" s="2" t="str">
        <x:v>The Houses October Built 2</x:v>
      </x:c>
      <x:c r="C176" s="3" t="n">
        <x:v>2017</x:v>
      </x:c>
      <x:c r="D176" s="2" t="str">
        <x:v>Blu-ray</x:v>
      </x:c>
      <x:c r="E176" s="4"/>
      <x:c r="F176" s="3" t="n">
        <x:v>466344</x:v>
      </x:c>
      <x:c r="G176" s="5" t="n">
        <x:v>4.941</x:v>
      </x:c>
      <x:c r="H176" s="2" t="str">
        <x:v>Horror</x:v>
      </x:c>
      <x:c r="I176" s="6" t="str">
        <x:v>/9ePD42CjuXgwsFNDl3EC8KRi0XC.jpg</x:v>
      </x:c>
      <x:c r="J176" s="7" t="str">
        <x:v>https://image.tmdb.org/t/p/w342/9ePD42CjuXgwsFNDl3EC8KRi0XC.jpg</x:v>
      </x:c>
      <x:c r="K176" s="3" t="e">
        <x:f>IMAGE(J176)</x:f>
      </x:c>
      <x:c r="L176" s="8" t="n">
        <x:v>99</x:v>
      </x:c>
      <x:c r="M176" s="46" t="str">
        <x:v>Recovering from the trauma of being kidnapped last Halloween by the Blue Skeleton - a group who take "extreme haunt" to another level - five friends decide they must face their fears in order to move on. Heading back out on the road to visit more haunted house attractions, signs of the Blue Skeleton start appearing again and a new terror begins.</x:v>
      </x:c>
      <x:c r="N176" s="2" t="n">
        <x:v>43000</x:v>
      </x:c>
      <x:c r="O176" s="2" t="str">
        <x:v>Unwatched</x:v>
      </x:c>
      <x:c r="P176" s="9"/>
      <x:c r="Q176" s="6"/>
      <x:c r="R176" s="2" t="str">
        <x:v>https://www.themoviedb.org/movie/466344</x:v>
      </x:c>
      <x:c r="S176" s="10" t="str">
        <x:v>Matched</x:v>
      </x:c>
    </x:row>
    <x:row r="177" ht="90" customHeight="1">
      <x:c r="A177" s="2" t="str">
        <x:v>How to Train Your Dragon (2010)</x:v>
      </x:c>
      <x:c r="B177" s="2" t="str">
        <x:v>How to Train Your Dragon</x:v>
      </x:c>
      <x:c r="C177" s="3" t="n">
        <x:v>2010</x:v>
      </x:c>
      <x:c r="D177" s="2" t="str">
        <x:v>Blu-ray</x:v>
      </x:c>
      <x:c r="E177" s="4"/>
      <x:c r="F177" s="3" t="n">
        <x:v>10191</x:v>
      </x:c>
      <x:c r="G177" s="5" t="n">
        <x:v>7.859</x:v>
      </x:c>
      <x:c r="H177" s="2" t="str">
        <x:v>Fantasy, Adventure, Animation, Family</x:v>
      </x:c>
      <x:c r="I177" s="6" t="str">
        <x:v>/ygGmAO60t8GyqUo9xYeYxSZAR3b.jpg</x:v>
      </x:c>
      <x:c r="J177" s="7" t="str">
        <x:v>https://image.tmdb.org/t/p/w342/ygGmAO60t8GyqUo9xYeYxSZAR3b.jpg</x:v>
      </x:c>
      <x:c r="K177" s="3" t="e">
        <x:f>IMAGE(J177)</x:f>
      </x:c>
      <x:c r="L177" s="8" t="n">
        <x:v>98</x:v>
      </x:c>
      <x:c r="M177" s="46" t="str">
        <x:v>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x:v>
      </x:c>
      <x:c r="N177" s="2" t="n">
        <x:v>40255</x:v>
      </x:c>
      <x:c r="O177" s="2" t="str">
        <x:v>Unwatched</x:v>
      </x:c>
      <x:c r="P177" s="9"/>
      <x:c r="Q177" s="6"/>
      <x:c r="R177" s="2" t="str">
        <x:v>https://www.themoviedb.org/movie/10191</x:v>
      </x:c>
      <x:c r="S177" s="10" t="str">
        <x:v>Matched</x:v>
      </x:c>
    </x:row>
    <x:row r="178" ht="90" customHeight="1">
      <x:c r="A178" s="2" t="str">
        <x:v>How to Train Your Dragon 2 (2014)</x:v>
      </x:c>
      <x:c r="B178" s="2" t="str">
        <x:v>How to Train Your Dragon 2</x:v>
      </x:c>
      <x:c r="C178" s="3" t="n">
        <x:v>2014</x:v>
      </x:c>
      <x:c r="D178" s="2" t="str">
        <x:v>Blu-ray</x:v>
      </x:c>
      <x:c r="E178" s="4"/>
      <x:c r="F178" s="3" t="n">
        <x:v>82702</x:v>
      </x:c>
      <x:c r="G178" s="5" t="n">
        <x:v>7.7</x:v>
      </x:c>
      <x:c r="H178" s="2" t="str">
        <x:v>Fantasy, Action, Adventure, Animation, Family</x:v>
      </x:c>
      <x:c r="I178" s="6" t="str">
        <x:v>/d13Uj86LdbDLrfDoHR5aDOFYyJC.jpg</x:v>
      </x:c>
      <x:c r="J178" s="7" t="str">
        <x:v>https://image.tmdb.org/t/p/w342/d13Uj86LdbDLrfDoHR5aDOFYyJC.jpg</x:v>
      </x:c>
      <x:c r="K178" s="3" t="e">
        <x:f>IMAGE(J178)</x:f>
      </x:c>
      <x:c r="L178" s="8" t="n">
        <x:v>102</x:v>
      </x:c>
      <x:c r="M178" s="46" t="str">
        <x:v>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x:v>
      </x:c>
      <x:c r="N178" s="2" t="n">
        <x:v>41795</x:v>
      </x:c>
      <x:c r="O178" s="2" t="str">
        <x:v>Unwatched</x:v>
      </x:c>
      <x:c r="P178" s="9"/>
      <x:c r="Q178" s="6"/>
      <x:c r="R178" s="2" t="str">
        <x:v>https://www.themoviedb.org/movie/82702</x:v>
      </x:c>
      <x:c r="S178" s="10" t="str">
        <x:v>Matched</x:v>
      </x:c>
    </x:row>
    <x:row r="179" ht="90" customHeight="1">
      <x:c r="A179" s="2" t="str">
        <x:v>How to Train Your Dragon: The Hidden World (2019)</x:v>
      </x:c>
      <x:c r="B179" s="2" t="str">
        <x:v>How to Train Your Dragon: The Hidden World</x:v>
      </x:c>
      <x:c r="C179" s="3" t="n">
        <x:v>2019</x:v>
      </x:c>
      <x:c r="D179" s="2" t="str">
        <x:v>Blu-ray</x:v>
      </x:c>
      <x:c r="E179" s="4"/>
      <x:c r="F179" s="3" t="n">
        <x:v>166428</x:v>
      </x:c>
      <x:c r="G179" s="5" t="n">
        <x:v>7.751</x:v>
      </x:c>
      <x:c r="H179" s="2" t="str">
        <x:v>Animation, Family, Adventure</x:v>
      </x:c>
      <x:c r="I179" s="6" t="str">
        <x:v>/xvx4Yhf0DVH8G4LzNISpMfFBDy2.jpg</x:v>
      </x:c>
      <x:c r="J179" s="7" t="str">
        <x:v>https://image.tmdb.org/t/p/w342/xvx4Yhf0DVH8G4LzNISpMfFBDy2.jpg</x:v>
      </x:c>
      <x:c r="K179" s="3" t="e">
        <x:f>IMAGE(J179)</x:f>
      </x:c>
      <x:c r="L179" s="8" t="n">
        <x:v>104</x:v>
      </x:c>
      <x:c r="M179" s="46" t="str">
        <x:v>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x:v>
      </x:c>
      <x:c r="N179" s="2" t="n">
        <x:v>43468</x:v>
      </x:c>
      <x:c r="O179" s="2" t="str">
        <x:v>Unwatched</x:v>
      </x:c>
      <x:c r="P179" s="9"/>
      <x:c r="Q179" s="6"/>
      <x:c r="R179" s="2" t="str">
        <x:v>https://www.themoviedb.org/movie/166428</x:v>
      </x:c>
      <x:c r="S179" s="10" t="str">
        <x:v>Matched</x:v>
      </x:c>
    </x:row>
    <x:row r="180" ht="90" customHeight="1">
      <x:c r="A180" s="2" t="str">
        <x:v>The Human Centipede 2: Full Sequence (2011)</x:v>
      </x:c>
      <x:c r="B180" s="2" t="str">
        <x:v>The Human Centipede 2: Full Sequence</x:v>
      </x:c>
      <x:c r="C180" s="3" t="n">
        <x:v>2011</x:v>
      </x:c>
      <x:c r="D180" s="2" t="str">
        <x:v>Blu-ray</x:v>
      </x:c>
      <x:c r="E180" s="4"/>
      <x:c r="F180" s="3" t="n">
        <x:v>74997</x:v>
      </x:c>
      <x:c r="G180" s="5" t="n">
        <x:v>4.8</x:v>
      </x:c>
      <x:c r="H180" s="2" t="str">
        <x:v>Drama, Horror, Crime</x:v>
      </x:c>
      <x:c r="I180" s="6" t="str">
        <x:v>/9YEUMnMhIjD5ek4zIqOhLSnTnJS.jpg</x:v>
      </x:c>
      <x:c r="J180" s="7" t="str">
        <x:v>https://image.tmdb.org/t/p/w342/9YEUMnMhIjD5ek4zIqOhLSnTnJS.jpg</x:v>
      </x:c>
      <x:c r="K180" s="3" t="e">
        <x:f>IMAGE(J180)</x:f>
      </x:c>
      <x:c r="L180" s="8" t="n">
        <x:v>91</x:v>
      </x:c>
      <x:c r="M180" s="46" t="str">
        <x:v>Inspired by the fictional Dr. Heiter, disturbed loner Martin dreams of creating a 12-person centipede and sets out to realize his sick fantasy.</x:v>
      </x:c>
      <x:c r="N180" s="2" t="n">
        <x:v>40822</x:v>
      </x:c>
      <x:c r="O180" s="2" t="str">
        <x:v>Unwatched</x:v>
      </x:c>
      <x:c r="P180" s="9"/>
      <x:c r="Q180" s="6"/>
      <x:c r="R180" s="2" t="str">
        <x:v>https://www.themoviedb.org/movie/74997</x:v>
      </x:c>
      <x:c r="S180" s="10" t="str">
        <x:v>Matched</x:v>
      </x:c>
    </x:row>
    <x:row r="181" ht="90" customHeight="1">
      <x:c r="A181" s="2" t="str">
        <x:v>The Human Centipede 3 [Final Sequence] (2015)</x:v>
      </x:c>
      <x:c r="B181" s="2" t="str">
        <x:v>The Human Centipede 3 [Final Sequence]</x:v>
      </x:c>
      <x:c r="C181" s="3" t="n">
        <x:v>2015</x:v>
      </x:c>
      <x:c r="D181" s="2" t="str">
        <x:v>Blu-ray</x:v>
      </x:c>
      <x:c r="E181" s="4"/>
      <x:c r="F181" s="3" t="n">
        <x:v>94365</x:v>
      </x:c>
      <x:c r="G181" s="5" t="n">
        <x:v>3.776</x:v>
      </x:c>
      <x:c r="H181" s="2" t="str">
        <x:v>Horror</x:v>
      </x:c>
      <x:c r="I181" s="6" t="str">
        <x:v>/xUk5AGcGvybPBvvMqrDPbAFAknD.jpg</x:v>
      </x:c>
      <x:c r="J181" s="7" t="str">
        <x:v>https://image.tmdb.org/t/p/w342/xUk5AGcGvybPBvvMqrDPbAFAknD.jpg</x:v>
      </x:c>
      <x:c r="K181" s="3" t="e">
        <x:f>IMAGE(J181)</x:f>
      </x:c>
      <x:c r="L181" s="8" t="n">
        <x:v>103</x:v>
      </x:c>
      <x:c r="M181" s="46" t="str">
        <x:v>Taking inspiration from The Human Centipede films, the warden of a notorious and troubled prison looks to create a 500-person human centipede as a solution to his problems.</x:v>
      </x:c>
      <x:c r="N181" s="2" t="n">
        <x:v>42146</x:v>
      </x:c>
      <x:c r="O181" s="2" t="str">
        <x:v>Unwatched</x:v>
      </x:c>
      <x:c r="P181" s="9"/>
      <x:c r="Q181" s="6"/>
      <x:c r="R181" s="2" t="str">
        <x:v>https://www.themoviedb.org/movie/94365</x:v>
      </x:c>
      <x:c r="S181" s="10" t="str">
        <x:v>Matched</x:v>
      </x:c>
    </x:row>
    <x:row r="182" ht="90" customHeight="1">
      <x:c r="A182" s="2" t="str">
        <x:v>The Human Centipede [First Sequence] (2009)</x:v>
      </x:c>
      <x:c r="B182" s="2" t="str">
        <x:v>The Human Centipede [First Sequence]</x:v>
      </x:c>
      <x:c r="C182" s="3" t="n">
        <x:v>2009</x:v>
      </x:c>
      <x:c r="D182" s="2" t="str">
        <x:v>Blu-ray</x:v>
      </x:c>
      <x:c r="E182" s="4"/>
      <x:c r="F182" s="3" t="n">
        <x:v>37169</x:v>
      </x:c>
      <x:c r="G182" s="5" t="n">
        <x:v>5.181</x:v>
      </x:c>
      <x:c r="H182" s="2" t="str">
        <x:v>Horror</x:v>
      </x:c>
      <x:c r="I182" s="6" t="str">
        <x:v>/gMtjxIkEi0hnTV5lPHbgeZ4ZpUZ.jpg</x:v>
      </x:c>
      <x:c r="J182" s="7" t="str">
        <x:v>https://image.tmdb.org/t/p/w342/gMtjxIkEi0hnTV5lPHbgeZ4ZpUZ.jpg</x:v>
      </x:c>
      <x:c r="K182" s="3" t="e">
        <x:f>IMAGE(J182)</x:f>
      </x:c>
      <x:c r="L182" s="8" t="n">
        <x:v>92</x:v>
      </x:c>
      <x:c r="M182" s="46" t="str">
        <x:v>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x:v>
      </x:c>
      <x:c r="N182" s="2" t="n">
        <x:v>40117</x:v>
      </x:c>
      <x:c r="O182" s="2" t="str">
        <x:v>Unwatched</x:v>
      </x:c>
      <x:c r="P182" s="9"/>
      <x:c r="Q182" s="6"/>
      <x:c r="R182" s="2" t="str">
        <x:v>https://www.themoviedb.org/movie/37169</x:v>
      </x:c>
      <x:c r="S182" s="10" t="str">
        <x:v>Matched</x:v>
      </x:c>
    </x:row>
    <x:row r="183" ht="90" customHeight="1">
      <x:c r="A183" s="2" t="str">
        <x:v>The Hunger Games: Mockingjay - Part 1 (2014)</x:v>
      </x:c>
      <x:c r="B183" s="2" t="str">
        <x:v>The Hunger Games: Mockingjay - Part 1</x:v>
      </x:c>
      <x:c r="C183" s="3" t="n">
        <x:v>2014</x:v>
      </x:c>
      <x:c r="D183" s="2" t="str">
        <x:v>Blu-ray</x:v>
      </x:c>
      <x:c r="E183" s="4"/>
      <x:c r="F183" s="3" t="n">
        <x:v>131631</x:v>
      </x:c>
      <x:c r="G183" s="5" t="n">
        <x:v>6.818</x:v>
      </x:c>
      <x:c r="H183" s="2" t="str">
        <x:v>Science Fiction, Adventure, Thriller</x:v>
      </x:c>
      <x:c r="I183" s="6" t="str">
        <x:v>/4FAA18ZIja70d1Tu5hr5cj2q1sB.jpg</x:v>
      </x:c>
      <x:c r="J183" s="7" t="str">
        <x:v>https://image.tmdb.org/t/p/w342/4FAA18ZIja70d1Tu5hr5cj2q1sB.jpg</x:v>
      </x:c>
      <x:c r="K183" s="3" t="e">
        <x:f>IMAGE(J183)</x:f>
      </x:c>
      <x:c r="L183" s="8" t="n">
        <x:v>123</x:v>
      </x:c>
      <x:c r="M183" s="46" t="str">
        <x:v>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x:v>
      </x:c>
      <x:c r="N183" s="2" t="n">
        <x:v>41962</x:v>
      </x:c>
      <x:c r="O183" s="2" t="str">
        <x:v>Unwatched</x:v>
      </x:c>
      <x:c r="P183" s="9"/>
      <x:c r="Q183" s="6"/>
      <x:c r="R183" s="2" t="str">
        <x:v>https://www.themoviedb.org/movie/131631</x:v>
      </x:c>
      <x:c r="S183" s="10" t="str">
        <x:v>Matched</x:v>
      </x:c>
    </x:row>
    <x:row r="184" ht="90" customHeight="1">
      <x:c r="A184" s="2" t="str">
        <x:v>The Hunger Games: Mockingjay - Part 2 (2015)</x:v>
      </x:c>
      <x:c r="B184" s="2" t="str">
        <x:v>The Hunger Games: Mockingjay - Part 2</x:v>
      </x:c>
      <x:c r="C184" s="3" t="n">
        <x:v>2015</x:v>
      </x:c>
      <x:c r="D184" s="2" t="str">
        <x:v>Blu-ray</x:v>
      </x:c>
      <x:c r="E184" s="4"/>
      <x:c r="F184" s="3" t="n">
        <x:v>131634</x:v>
      </x:c>
      <x:c r="G184" s="5" t="n">
        <x:v>6.902</x:v>
      </x:c>
      <x:c r="H184" s="2" t="str">
        <x:v>Action, Adventure, Science Fiction</x:v>
      </x:c>
      <x:c r="I184" s="6" t="str">
        <x:v>/lImKHDfExAulp16grYm8zD5eONE.jpg</x:v>
      </x:c>
      <x:c r="J184" s="7" t="str">
        <x:v>https://image.tmdb.org/t/p/w342/lImKHDfExAulp16grYm8zD5eONE.jpg</x:v>
      </x:c>
      <x:c r="K184" s="3" t="e">
        <x:f>IMAGE(J184)</x:f>
      </x:c>
      <x:c r="L184" s="8" t="n">
        <x:v>137</x:v>
      </x:c>
      <x:c r="M184" s="46" t="str">
        <x:v>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x:v>
      </x:c>
      <x:c r="N184" s="2" t="n">
        <x:v>42326</x:v>
      </x:c>
      <x:c r="O184" s="2" t="str">
        <x:v>Unwatched</x:v>
      </x:c>
      <x:c r="P184" s="9"/>
      <x:c r="Q184" s="6"/>
      <x:c r="R184" s="2" t="str">
        <x:v>https://www.themoviedb.org/movie/131634</x:v>
      </x:c>
      <x:c r="S184" s="10" t="str">
        <x:v>Matched</x:v>
      </x:c>
    </x:row>
    <x:row r="185" ht="90" customHeight="1">
      <x:c r="A185" s="2" t="str">
        <x:v>Hush (2016)</x:v>
      </x:c>
      <x:c r="B185" s="2" t="str">
        <x:v>Hush</x:v>
      </x:c>
      <x:c r="C185" s="3" t="n">
        <x:v>2016</x:v>
      </x:c>
      <x:c r="D185" s="2" t="str">
        <x:v>Blu-ray</x:v>
      </x:c>
      <x:c r="E185" s="4"/>
      <x:c r="F185" s="3" t="n">
        <x:v>376570</x:v>
      </x:c>
      <x:c r="G185" s="5" t="n">
        <x:v>6.73</x:v>
      </x:c>
      <x:c r="H185" s="2" t="str">
        <x:v>Horror, Thriller</x:v>
      </x:c>
      <x:c r="I185" s="6" t="str">
        <x:v>/zHzBTd502IZf60x8n2g0TB01vPF.jpg</x:v>
      </x:c>
      <x:c r="J185" s="7" t="str">
        <x:v>https://image.tmdb.org/t/p/w342/zHzBTd502IZf60x8n2g0TB01vPF.jpg</x:v>
      </x:c>
      <x:c r="K185" s="3" t="e">
        <x:f>IMAGE(J185)</x:f>
      </x:c>
      <x:c r="L185" s="8" t="n">
        <x:v>82</x:v>
      </x:c>
      <x:c r="M185" s="46" t="str">
        <x:v>A deaf woman is stalked by a psychotic killer in her secluded home.</x:v>
      </x:c>
      <x:c r="N185" s="2" t="n">
        <x:v>42441</x:v>
      </x:c>
      <x:c r="O185" s="2" t="str">
        <x:v>Unwatched</x:v>
      </x:c>
      <x:c r="P185" s="9"/>
      <x:c r="Q185" s="6"/>
      <x:c r="R185" s="2" t="str">
        <x:v>https://www.themoviedb.org/movie/376570</x:v>
      </x:c>
      <x:c r="S185" s="10" t="str">
        <x:v>Matched</x:v>
      </x:c>
    </x:row>
    <x:row r="186" ht="90" customHeight="1">
      <x:c r="A186" s="2" t="str">
        <x:v>Infinity Pool (2023)</x:v>
      </x:c>
      <x:c r="B186" s="2" t="str">
        <x:v>Infinity Pool</x:v>
      </x:c>
      <x:c r="C186" s="3" t="n">
        <x:v>2023</x:v>
      </x:c>
      <x:c r="D186" s="2" t="str">
        <x:v>Blu-ray</x:v>
      </x:c>
      <x:c r="E186" s="4"/>
      <x:c r="F186" s="3" t="n">
        <x:v>667216</x:v>
      </x:c>
      <x:c r="G186" s="5" t="n">
        <x:v>6.063</x:v>
      </x:c>
      <x:c r="H186" s="2" t="str">
        <x:v>Horror, Science Fiction, Thriller</x:v>
      </x:c>
      <x:c r="I186" s="6" t="str">
        <x:v>/cQKyNm0Nz6KWiDBQF9w4aZAmOfC.jpg</x:v>
      </x:c>
      <x:c r="J186" s="7" t="str">
        <x:v>https://image.tmdb.org/t/p/w342/cQKyNm0Nz6KWiDBQF9w4aZAmOfC.jpg</x:v>
      </x:c>
      <x:c r="K186" s="3" t="e">
        <x:f>IMAGE(J186)</x:f>
      </x:c>
      <x:c r="L186" s="8" t="n">
        <x:v>118</x:v>
      </x:c>
      <x:c r="M186" s="46" t="str">
        <x:v>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x:v>
      </x:c>
      <x:c r="N186" s="2" t="n">
        <x:v>44953</x:v>
      </x:c>
      <x:c r="O186" s="2" t="str">
        <x:v>Unwatched</x:v>
      </x:c>
      <x:c r="P186" s="9"/>
      <x:c r="Q186" s="6"/>
      <x:c r="R186" s="2" t="str">
        <x:v>https://www.themoviedb.org/movie/667216</x:v>
      </x:c>
      <x:c r="S186" s="10" t="str">
        <x:v>Matched</x:v>
      </x:c>
    </x:row>
    <x:row r="187" ht="90" customHeight="1">
      <x:c r="A187" s="2" t="str">
        <x:v>Inside (2007)</x:v>
      </x:c>
      <x:c r="B187" s="2" t="str">
        <x:v>Inside</x:v>
      </x:c>
      <x:c r="C187" s="3" t="n">
        <x:v>2007</x:v>
      </x:c>
      <x:c r="D187" s="2" t="str">
        <x:v>Blu-ray</x:v>
      </x:c>
      <x:c r="E187" s="4"/>
      <x:c r="F187" s="3" t="n">
        <x:v>13312</x:v>
      </x:c>
      <x:c r="G187" s="5" t="n">
        <x:v>6.74</x:v>
      </x:c>
      <x:c r="H187" s="2" t="str">
        <x:v>Horror</x:v>
      </x:c>
      <x:c r="I187" s="6" t="str">
        <x:v>/7gPOYKxoBzhfC8cLNMU3CKgURcm.jpg</x:v>
      </x:c>
      <x:c r="J187" s="7" t="str">
        <x:v>https://image.tmdb.org/t/p/w342/7gPOYKxoBzhfC8cLNMU3CKgURcm.jpg</x:v>
      </x:c>
      <x:c r="K187" s="3" t="e">
        <x:f>IMAGE(J187)</x:f>
      </x:c>
      <x:c r="L187" s="8" t="n">
        <x:v>83</x:v>
      </x:c>
      <x:c r="M187" s="46" t="str">
        <x:v>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will stop at nothing to get it.</x:v>
      </x:c>
      <x:c r="N187" s="2" t="n">
        <x:v>39246</x:v>
      </x:c>
      <x:c r="O187" s="2" t="str">
        <x:v>Unwatched</x:v>
      </x:c>
      <x:c r="P187" s="9"/>
      <x:c r="Q187" s="6"/>
      <x:c r="R187" s="2" t="str">
        <x:v>https://www.themoviedb.org/movie/13312</x:v>
      </x:c>
      <x:c r="S187" s="10" t="str">
        <x:v>Matched</x:v>
      </x:c>
    </x:row>
    <x:row r="188" ht="90" customHeight="1">
      <x:c r="A188" s="2" t="str">
        <x:v>Insidious: Chapter 2 (2013)</x:v>
      </x:c>
      <x:c r="B188" s="2" t="str">
        <x:v>Insidious: Chapter 2</x:v>
      </x:c>
      <x:c r="C188" s="3" t="n">
        <x:v>2013</x:v>
      </x:c>
      <x:c r="D188" s="2" t="str">
        <x:v>Blu-ray</x:v>
      </x:c>
      <x:c r="E188" s="4"/>
      <x:c r="F188" s="3" t="n">
        <x:v>91586</x:v>
      </x:c>
      <x:c r="G188" s="5" t="n">
        <x:v>6.682</x:v>
      </x:c>
      <x:c r="H188" s="2" t="str">
        <x:v>Horror, Thriller</x:v>
      </x:c>
      <x:c r="I188" s="6" t="str">
        <x:v>/w5JjiB3O1CLDXbTJe1QpU5RHmlU.jpg</x:v>
      </x:c>
      <x:c r="J188" s="7" t="str">
        <x:v>https://image.tmdb.org/t/p/w342/w5JjiB3O1CLDXbTJe1QpU5RHmlU.jpg</x:v>
      </x:c>
      <x:c r="K188" s="3" t="e">
        <x:f>IMAGE(J188)</x:f>
      </x:c>
      <x:c r="L188" s="8" t="n">
        <x:v>106</x:v>
      </x:c>
      <x:c r="M188" s="46" t="str">
        <x:v>The haunted Lambert family seeks to uncover the mysterious childhood secret that has left them dangerously connected to the spirit world.</x:v>
      </x:c>
      <x:c r="N188" s="2" t="n">
        <x:v>41529</x:v>
      </x:c>
      <x:c r="O188" s="2" t="str">
        <x:v>Unwatched</x:v>
      </x:c>
      <x:c r="P188" s="9"/>
      <x:c r="Q188" s="6"/>
      <x:c r="R188" s="2" t="str">
        <x:v>https://www.themoviedb.org/movie/91586</x:v>
      </x:c>
      <x:c r="S188" s="10" t="str">
        <x:v>Matched</x:v>
      </x:c>
    </x:row>
    <x:row r="189" ht="90" customHeight="1">
      <x:c r="A189" s="2" t="str">
        <x:v>Insidious: Chapter 3 (2015)</x:v>
      </x:c>
      <x:c r="B189" s="2" t="str">
        <x:v>Insidious: Chapter 3</x:v>
      </x:c>
      <x:c r="C189" s="3" t="n">
        <x:v>2015</x:v>
      </x:c>
      <x:c r="D189" s="2" t="str">
        <x:v>Blu-ray</x:v>
      </x:c>
      <x:c r="E189" s="4"/>
      <x:c r="F189" s="3" t="n">
        <x:v>280092</x:v>
      </x:c>
      <x:c r="G189" s="5" t="n">
        <x:v>6.3</x:v>
      </x:c>
      <x:c r="H189" s="2" t="str">
        <x:v>Horror, Thriller</x:v>
      </x:c>
      <x:c r="I189" s="6" t="str">
        <x:v>/iDdGfdNvY1EX0uDdA4Ru77fwMfc.jpg</x:v>
      </x:c>
      <x:c r="J189" s="7" t="str">
        <x:v>https://image.tmdb.org/t/p/w342/iDdGfdNvY1EX0uDdA4Ru77fwMfc.jpg</x:v>
      </x:c>
      <x:c r="K189" s="3" t="e">
        <x:f>IMAGE(J189)</x:f>
      </x:c>
      <x:c r="L189" s="8" t="n">
        <x:v>97</x:v>
      </x:c>
      <x:c r="M189" s="46" t="str">
        <x:v>A twisted new tale of terror begins for a teenage girl and her family, and revealing more mysteries of the otherworldly realm, 'The Further'.</x:v>
      </x:c>
      <x:c r="N189" s="2" t="n">
        <x:v>42152</x:v>
      </x:c>
      <x:c r="O189" s="2" t="str">
        <x:v>Unwatched</x:v>
      </x:c>
      <x:c r="P189" s="9"/>
      <x:c r="Q189" s="6"/>
      <x:c r="R189" s="2" t="str">
        <x:v>https://www.themoviedb.org/movie/280092</x:v>
      </x:c>
      <x:c r="S189" s="10" t="str">
        <x:v>Matched</x:v>
      </x:c>
    </x:row>
    <x:row r="190" ht="90" customHeight="1">
      <x:c r="A190" s="2" t="str">
        <x:v>Interstellar (2014)</x:v>
      </x:c>
      <x:c r="B190" s="2" t="str">
        <x:v>Interstellar</x:v>
      </x:c>
      <x:c r="C190" s="3" t="n">
        <x:v>2014</x:v>
      </x:c>
      <x:c r="D190" s="2" t="str">
        <x:v>Blu-ray</x:v>
      </x:c>
      <x:c r="E190" s="4"/>
      <x:c r="F190" s="3" t="n">
        <x:v>157336</x:v>
      </x:c>
      <x:c r="G190" s="5" t="n">
        <x:v>8.475</x:v>
      </x:c>
      <x:c r="H190" s="2" t="str">
        <x:v>Adventure, Drama, Science Fiction</x:v>
      </x:c>
      <x:c r="I190" s="6" t="str">
        <x:v>/yQvGrMoipbRoddT0ZR8tPoR7NfX.jpg</x:v>
      </x:c>
      <x:c r="J190" s="7" t="str">
        <x:v>https://image.tmdb.org/t/p/w342/yQvGrMoipbRoddT0ZR8tPoR7NfX.jpg</x:v>
      </x:c>
      <x:c r="K190" s="3" t="e">
        <x:f>IMAGE(J190)</x:f>
      </x:c>
      <x:c r="L190" s="8" t="n">
        <x:v>169</x:v>
      </x:c>
      <x:c r="M190" s="46" t="str">
        <x:v>The adventures of a group of explorers who make use of a newly discovered wormhole to surpass the limitations on human space travel and conquer the vast distances involved in an interstellar voyage.</x:v>
      </x:c>
      <x:c r="N190" s="2" t="n">
        <x:v>41948</x:v>
      </x:c>
      <x:c r="O190" s="2" t="str">
        <x:v>Unwatched</x:v>
      </x:c>
      <x:c r="P190" s="9"/>
      <x:c r="Q190" s="6"/>
      <x:c r="R190" s="2" t="str">
        <x:v>https://www.themoviedb.org/movie/157336</x:v>
      </x:c>
      <x:c r="S190" s="10" t="str">
        <x:v>Matched</x:v>
      </x:c>
    </x:row>
    <x:row r="191" ht="90" customHeight="1">
      <x:c r="A191" s="2" t="str">
        <x:v>It (2017)</x:v>
      </x:c>
      <x:c r="B191" s="2" t="str">
        <x:v>It</x:v>
      </x:c>
      <x:c r="C191" s="3" t="n">
        <x:v>2017</x:v>
      </x:c>
      <x:c r="D191" s="2" t="str">
        <x:v>Blu-ray</x:v>
      </x:c>
      <x:c r="E191" s="4"/>
      <x:c r="F191" s="3" t="n">
        <x:v>346364</x:v>
      </x:c>
      <x:c r="G191" s="5" t="n">
        <x:v>7.24</x:v>
      </x:c>
      <x:c r="H191" s="2" t="str">
        <x:v>Horror, Thriller, Drama</x:v>
      </x:c>
      <x:c r="I191" s="6" t="str">
        <x:v>/9E2y5Q7WlCVNEhP5GiVTjhEhx1o.jpg</x:v>
      </x:c>
      <x:c r="J191" s="7" t="str">
        <x:v>https://image.tmdb.org/t/p/w342/9E2y5Q7WlCVNEhP5GiVTjhEhx1o.jpg</x:v>
      </x:c>
      <x:c r="K191" s="3" t="e">
        <x:f>IMAGE(J191)</x:f>
      </x:c>
      <x:c r="L191" s="8" t="n">
        <x:v>135</x:v>
      </x:c>
      <x:c r="M191" s="46" t="str">
        <x:v>In a small town in Maine, seven children known as The Losers Club come face to face with life problems, bullies and a monster that takes the shape of a clown called Pennywise.</x:v>
      </x:c>
      <x:c r="N191" s="2" t="n">
        <x:v>42984</x:v>
      </x:c>
      <x:c r="O191" s="2" t="str">
        <x:v>Unwatched</x:v>
      </x:c>
      <x:c r="P191" s="9"/>
      <x:c r="Q191" s="6"/>
      <x:c r="R191" s="2" t="str">
        <x:v>https://www.themoviedb.org/movie/346364</x:v>
      </x:c>
      <x:c r="S191" s="10" t="str">
        <x:v>Matched</x:v>
      </x:c>
    </x:row>
    <x:row r="192" ht="90" customHeight="1">
      <x:c r="A192" s="2" t="str">
        <x:v>It Follows (2014)</x:v>
      </x:c>
      <x:c r="B192" s="2" t="str">
        <x:v>It Follows</x:v>
      </x:c>
      <x:c r="C192" s="3" t="n">
        <x:v>2014</x:v>
      </x:c>
      <x:c r="D192" s="2" t="str">
        <x:v>Blu-ray</x:v>
      </x:c>
      <x:c r="E192" s="4"/>
      <x:c r="F192" s="3" t="n">
        <x:v>270303</x:v>
      </x:c>
      <x:c r="G192" s="5" t="n">
        <x:v>6.6</x:v>
      </x:c>
      <x:c r="H192" s="2" t="str">
        <x:v>Horror, Mystery</x:v>
      </x:c>
      <x:c r="I192" s="6" t="str">
        <x:v>/iwnQ1JH1wdWrGYkgWySptJ5284A.jpg</x:v>
      </x:c>
      <x:c r="J192" s="7" t="str">
        <x:v>https://image.tmdb.org/t/p/w342/iwnQ1JH1wdWrGYkgWySptJ5284A.jpg</x:v>
      </x:c>
      <x:c r="K192" s="3" t="e">
        <x:f>IMAGE(J192)</x:f>
      </x:c>
      <x:c r="L192" s="8" t="n">
        <x:v>101</x:v>
      </x:c>
      <x:c r="M192" s="46" t="str">
        <x:v>A young woman is followed by an unknown supernatural force after a sexual encounter.</x:v>
      </x:c>
      <x:c r="N192" s="2" t="n">
        <x:v>42039</x:v>
      </x:c>
      <x:c r="O192" s="2" t="str">
        <x:v>Unwatched</x:v>
      </x:c>
      <x:c r="P192" s="9"/>
      <x:c r="Q192" s="6"/>
      <x:c r="R192" s="2" t="str">
        <x:v>https://www.themoviedb.org/movie/270303</x:v>
      </x:c>
      <x:c r="S192" s="10" t="str">
        <x:v>Matched</x:v>
      </x:c>
    </x:row>
    <x:row r="193" ht="90" customHeight="1">
      <x:c r="A193" s="2" t="str">
        <x:v>It: Chapter Two (2019)</x:v>
      </x:c>
      <x:c r="B193" s="2" t="str">
        <x:v>It: Chapter Two</x:v>
      </x:c>
      <x:c r="C193" s="3" t="n">
        <x:v>2019</x:v>
      </x:c>
      <x:c r="D193" s="2" t="str">
        <x:v>Blu-ray</x:v>
      </x:c>
      <x:c r="E193" s="4"/>
      <x:c r="F193" s="3" t="n">
        <x:v>474350</x:v>
      </x:c>
      <x:c r="G193" s="5" t="n">
        <x:v>6.837</x:v>
      </x:c>
      <x:c r="H193" s="2" t="str">
        <x:v>Horror, Thriller, Drama</x:v>
      </x:c>
      <x:c r="I193" s="6" t="str">
        <x:v>/zfE0R94v1E8cuKAerbskfD3VfUt.jpg</x:v>
      </x:c>
      <x:c r="J193" s="7" t="str">
        <x:v>https://image.tmdb.org/t/p/w342/zfE0R94v1E8cuKAerbskfD3VfUt.jpg</x:v>
      </x:c>
      <x:c r="K193" s="3" t="e">
        <x:f>IMAGE(J193)</x:f>
      </x:c>
      <x:c r="L193" s="8" t="n">
        <x:v>169</x:v>
      </x:c>
      <x:c r="M193" s="46" t="str">
        <x:v>27 years after overcoming the malevolent supernatural entity Pennywise, the former members of the Losers' Club, who have grown up and moved away from Derry, are brought back together by a devastating phone call.</x:v>
      </x:c>
      <x:c r="N193" s="2" t="n">
        <x:v>43712</x:v>
      </x:c>
      <x:c r="O193" s="2" t="str">
        <x:v>Unwatched</x:v>
      </x:c>
      <x:c r="P193" s="9"/>
      <x:c r="Q193" s="6"/>
      <x:c r="R193" s="2" t="str">
        <x:v>https://www.themoviedb.org/movie/474350</x:v>
      </x:c>
      <x:c r="S193" s="10" t="str">
        <x:v>Matched</x:v>
      </x:c>
    </x:row>
    <x:row r="194" ht="90" customHeight="1">
      <x:c r="A194" s="2" t="str">
        <x:v>Jarhead (2005)</x:v>
      </x:c>
      <x:c r="B194" s="2" t="str">
        <x:v>Jarhead</x:v>
      </x:c>
      <x:c r="C194" s="3" t="n">
        <x:v>2005</x:v>
      </x:c>
      <x:c r="D194" s="2" t="str">
        <x:v>Blu-ray</x:v>
      </x:c>
      <x:c r="E194" s="4"/>
      <x:c r="F194" s="3" t="n">
        <x:v>25</x:v>
      </x:c>
      <x:c r="G194" s="5" t="n">
        <x:v>6.682</x:v>
      </x:c>
      <x:c r="H194" s="2" t="str">
        <x:v>Drama, War</x:v>
      </x:c>
      <x:c r="I194" s="6" t="str">
        <x:v>/6vdj47RAWOUZBkeQmqToeZ7eaio.jpg</x:v>
      </x:c>
      <x:c r="J194" s="7" t="str">
        <x:v>https://image.tmdb.org/t/p/w342/6vdj47RAWOUZBkeQmqToeZ7eaio.jpg</x:v>
      </x:c>
      <x:c r="K194" s="3" t="e">
        <x:f>IMAGE(J194)</x:f>
      </x:c>
      <x:c r="L194" s="8" t="n">
        <x:v>123</x:v>
      </x:c>
      <x:c r="M194" s="46" t="str">
        <x:v>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x:v>
      </x:c>
      <x:c r="N194" s="2" t="n">
        <x:v>38660</x:v>
      </x:c>
      <x:c r="O194" s="2" t="str">
        <x:v>Unwatched</x:v>
      </x:c>
      <x:c r="P194" s="9"/>
      <x:c r="Q194" s="6"/>
      <x:c r="R194" s="2" t="str">
        <x:v>https://www.themoviedb.org/movie/25</x:v>
      </x:c>
      <x:c r="S194" s="10" t="str">
        <x:v>Matched</x:v>
      </x:c>
    </x:row>
    <x:row r="195" ht="90" customHeight="1">
      <x:c r="A195" s="2" t="str">
        <x:v>Jason Goes to Hell: The Final Friday (1993)</x:v>
      </x:c>
      <x:c r="B195" s="2" t="str">
        <x:v>Jason Goes to Hell: The Final Friday</x:v>
      </x:c>
      <x:c r="C195" s="3" t="n">
        <x:v>1993</x:v>
      </x:c>
      <x:c r="D195" s="2" t="str">
        <x:v>Blu-ray</x:v>
      </x:c>
      <x:c r="E195" s="4"/>
      <x:c r="F195" s="3" t="n">
        <x:v>10285</x:v>
      </x:c>
      <x:c r="G195" s="5" t="n">
        <x:v>4.59</x:v>
      </x:c>
      <x:c r="H195" s="2" t="str">
        <x:v>Horror, Thriller</x:v>
      </x:c>
      <x:c r="I195" s="6" t="str">
        <x:v>/Aacq05foqiWdXqetFv02HBvMoJy.jpg</x:v>
      </x:c>
      <x:c r="J195" s="7" t="str">
        <x:v>https://image.tmdb.org/t/p/w342/Aacq05foqiWdXqetFv02HBvMoJy.jpg</x:v>
      </x:c>
      <x:c r="K195" s="3" t="e">
        <x:f>IMAGE(J195)</x:f>
      </x:c>
      <x:c r="L195" s="8" t="n">
        <x:v>88</x:v>
      </x:c>
      <x:c r="M195" s="46" t="str">
        <x:v>Jason Voorhees is tracked down and blown to bits by a special FBI task force, reborn with the bone-chilling ability to assume the identity of anyone he touches.</x:v>
      </x:c>
      <x:c r="N195" s="2" t="n">
        <x:v>34194</x:v>
      </x:c>
      <x:c r="O195" s="2" t="str">
        <x:v>Unwatched</x:v>
      </x:c>
      <x:c r="P195" s="9"/>
      <x:c r="Q195" s="6"/>
      <x:c r="R195" s="2" t="str">
        <x:v>https://www.themoviedb.org/movie/10285</x:v>
      </x:c>
      <x:c r="S195" s="10" t="str">
        <x:v>Matched</x:v>
      </x:c>
    </x:row>
    <x:row r="196" ht="90" customHeight="1">
      <x:c r="A196" s="2" t="str">
        <x:v>Jason X (2001)</x:v>
      </x:c>
      <x:c r="B196" s="2" t="str">
        <x:v>Jason X</x:v>
      </x:c>
      <x:c r="C196" s="3" t="n">
        <x:v>2001</x:v>
      </x:c>
      <x:c r="D196" s="2" t="str">
        <x:v>Blu-ray</x:v>
      </x:c>
      <x:c r="E196" s="4"/>
      <x:c r="F196" s="3" t="n">
        <x:v>11470</x:v>
      </x:c>
      <x:c r="G196" s="5" t="n">
        <x:v>4.852</x:v>
      </x:c>
      <x:c r="H196" s="2" t="str">
        <x:v>Horror, Science Fiction</x:v>
      </x:c>
      <x:c r="I196" s="6" t="str">
        <x:v>/ggOND0hfoE0f3K857joSzEeIchb.jpg</x:v>
      </x:c>
      <x:c r="J196" s="7" t="str">
        <x:v>https://image.tmdb.org/t/p/w342/ggOND0hfoE0f3K857joSzEeIchb.jpg</x:v>
      </x:c>
      <x:c r="K196" s="3" t="e">
        <x:f>IMAGE(J196)</x:f>
      </x:c>
      <x:c r="L196" s="8" t="n">
        <x:v>91</x:v>
      </x:c>
      <x:c r="M196" s="46" t="str">
        <x: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x:v>
      </x:c>
      <x:c r="N196" s="2" t="n">
        <x:v>37204</x:v>
      </x:c>
      <x:c r="O196" s="2" t="str">
        <x:v>Unwatched</x:v>
      </x:c>
      <x:c r="P196" s="9"/>
      <x:c r="Q196" s="6"/>
      <x:c r="R196" s="2" t="str">
        <x:v>https://www.themoviedb.org/movie/11470</x:v>
      </x:c>
      <x:c r="S196" s="10" t="str">
        <x:v>Matched</x:v>
      </x:c>
    </x:row>
    <x:row r="197" ht="90" customHeight="1">
      <x:c r="A197" s="2" t="str">
        <x:v>Jaws (1975)</x:v>
      </x:c>
      <x:c r="B197" s="2" t="str">
        <x:v>Jaws</x:v>
      </x:c>
      <x:c r="C197" s="3" t="n">
        <x:v>1975</x:v>
      </x:c>
      <x:c r="D197" s="2" t="str">
        <x:v>Blu-ray</x:v>
      </x:c>
      <x:c r="E197" s="4"/>
      <x:c r="F197" s="3" t="n">
        <x:v>578</x:v>
      </x:c>
      <x:c r="G197" s="5" t="n">
        <x:v>7.681</x:v>
      </x:c>
      <x:c r="H197" s="2" t="str">
        <x:v>Horror, Thriller, Adventure</x:v>
      </x:c>
      <x:c r="I197" s="6" t="str">
        <x:v>/lxM6kqilAdpdhqUl2biYp5frUxE.jpg</x:v>
      </x:c>
      <x:c r="J197" s="7" t="str">
        <x:v>https://image.tmdb.org/t/p/w342/lxM6kqilAdpdhqUl2biYp5frUxE.jpg</x:v>
      </x:c>
      <x:c r="K197" s="3" t="e">
        <x:f>IMAGE(J197)</x:f>
      </x:c>
      <x:c r="L197" s="8" t="n">
        <x:v>124</x:v>
      </x:c>
      <x:c r="M197" s="46" t="str">
        <x:v>When the seaside community of Amity finds itself under attack by a dangerous great white shark, the town's chief of police, a young marine biologist, and a grizzled shark hunter embark on a desperate quest to kill the beast before it strikes again.</x:v>
      </x:c>
      <x:c r="N197" s="2" t="n">
        <x:v>27565</x:v>
      </x:c>
      <x:c r="O197" s="2" t="str">
        <x:v>Unwatched</x:v>
      </x:c>
      <x:c r="P197" s="9"/>
      <x:c r="Q197" s="6"/>
      <x:c r="R197" s="2" t="str">
        <x:v>https://www.themoviedb.org/movie/578</x:v>
      </x:c>
      <x:c r="S197" s="10" t="str">
        <x:v>Matched</x:v>
      </x:c>
    </x:row>
    <x:row r="198" ht="90" customHeight="1">
      <x:c r="A198" s="2" t="str">
        <x:v>Jay and Silent Bob Strike Back (2001)</x:v>
      </x:c>
      <x:c r="B198" s="2" t="str">
        <x:v>Jay and Silent Bob Strike Back</x:v>
      </x:c>
      <x:c r="C198" s="3" t="n">
        <x:v>2001</x:v>
      </x:c>
      <x:c r="D198" s="2" t="str">
        <x:v>Blu-ray</x:v>
      </x:c>
      <x:c r="E198" s="4"/>
      <x:c r="F198" s="3" t="n">
        <x:v>2294</x:v>
      </x:c>
      <x:c r="G198" s="5" t="n">
        <x:v>6.432</x:v>
      </x:c>
      <x:c r="H198" s="2" t="str">
        <x:v>Comedy, Adventure, Action</x:v>
      </x:c>
      <x:c r="I198" s="6" t="str">
        <x:v>/aEsAdMAhwKYFgnHHxMOknktQYKK.jpg</x:v>
      </x:c>
      <x:c r="J198" s="7" t="str">
        <x:v>https://image.tmdb.org/t/p/w342/aEsAdMAhwKYFgnHHxMOknktQYKK.jpg</x:v>
      </x:c>
      <x:c r="K198" s="3" t="e">
        <x:f>IMAGE(J198)</x:f>
      </x:c>
      <x:c r="L198" s="8" t="n">
        <x:v>104</x:v>
      </x:c>
      <x:c r="M198" s="46" t="str">
        <x:v>When Jay and Silent Bob learn that their comic-book alter egos, Bluntman and Chronic, have been sold to Hollywood as part of a big-screen movie that leaves them out of any royalties, the pair travels to Tinseltown to sabotage the production.</x:v>
      </x:c>
      <x:c r="N198" s="2" t="n">
        <x:v>37125</x:v>
      </x:c>
      <x:c r="O198" s="2" t="str">
        <x:v>Unwatched</x:v>
      </x:c>
      <x:c r="P198" s="9"/>
      <x:c r="Q198" s="6"/>
      <x:c r="R198" s="2" t="str">
        <x:v>https://www.themoviedb.org/movie/2294</x:v>
      </x:c>
      <x:c r="S198" s="10" t="str">
        <x:v>Matched</x:v>
      </x:c>
    </x:row>
    <x:row r="199" ht="90" customHeight="1">
      <x:c r="A199" s="2" t="str">
        <x:v>Jeepers Creepers (2001)</x:v>
      </x:c>
      <x:c r="B199" s="2" t="str">
        <x:v>Jeepers Creepers</x:v>
      </x:c>
      <x:c r="C199" s="3" t="n">
        <x:v>2001</x:v>
      </x:c>
      <x:c r="D199" s="2" t="str">
        <x:v>Blu-ray</x:v>
      </x:c>
      <x:c r="E199" s="4"/>
      <x:c r="F199" s="3" t="n">
        <x:v>8922</x:v>
      </x:c>
      <x:c r="G199" s="5" t="n">
        <x:v>6.48</x:v>
      </x:c>
      <x:c r="H199" s="2" t="str">
        <x:v>Horror</x:v>
      </x:c>
      <x:c r="I199" s="6" t="str">
        <x:v>/g410Y1U1ELbmJG14Zru3UAimm1G.jpg</x:v>
      </x:c>
      <x:c r="J199" s="7" t="str">
        <x:v>https://image.tmdb.org/t/p/w342/g410Y1U1ELbmJG14Zru3UAimm1G.jpg</x:v>
      </x:c>
      <x:c r="K199" s="3" t="e">
        <x:f>IMAGE(J199)</x:f>
      </x:c>
      <x:c r="L199" s="8" t="n">
        <x:v>90</x:v>
      </x:c>
      <x:c r="M199" s="46" t="str">
        <x:v>On a desolate country highway, two homeward-bound teens are nearly run off the road by a maniac in a beat-up truck, and later spot him shoving what appears to be a body down a sewer pipe.</x:v>
      </x:c>
      <x:c r="N199" s="2" t="n">
        <x:v>37073</x:v>
      </x:c>
      <x:c r="O199" s="2" t="str">
        <x:v>Unwatched</x:v>
      </x:c>
      <x:c r="P199" s="9"/>
      <x:c r="Q199" s="6"/>
      <x:c r="R199" s="2" t="str">
        <x:v>https://www.themoviedb.org/movie/8922</x:v>
      </x:c>
      <x:c r="S199" s="10" t="str">
        <x:v>Matched</x:v>
      </x:c>
    </x:row>
    <x:row r="200" ht="90" customHeight="1">
      <x:c r="A200" s="2" t="str">
        <x:v>Jeepers Creepers 2 (2003)</x:v>
      </x:c>
      <x:c r="B200" s="2" t="str">
        <x:v>Jeepers Creepers 2</x:v>
      </x:c>
      <x:c r="C200" s="3" t="n">
        <x:v>2003</x:v>
      </x:c>
      <x:c r="D200" s="2" t="str">
        <x:v>Blu-ray</x:v>
      </x:c>
      <x:c r="E200" s="4"/>
      <x:c r="F200" s="3" t="n">
        <x:v>11351</x:v>
      </x:c>
      <x:c r="G200" s="5" t="n">
        <x:v>6.175</x:v>
      </x:c>
      <x:c r="H200" s="2" t="str">
        <x:v>Horror</x:v>
      </x:c>
      <x:c r="I200" s="6" t="str">
        <x:v>/u2ghDfjcs3y5c8ata3COc4pWiAN.jpg</x:v>
      </x:c>
      <x:c r="J200" s="7" t="str">
        <x:v>https://image.tmdb.org/t/p/w342/u2ghDfjcs3y5c8ata3COc4pWiAN.jpg</x:v>
      </x:c>
      <x:c r="K200" s="3" t="e">
        <x:f>IMAGE(J200)</x:f>
      </x:c>
      <x:c r="L200" s="8" t="n">
        <x:v>104</x:v>
      </x:c>
      <x:c r="M200" s="46" t="str">
        <x:v>When their bus is crippled on the side of a deserted road, a team of high school athletes discover an opponent they cannot defeat – and may not survive.</x:v>
      </x:c>
      <x:c r="N200" s="2" t="n">
        <x:v>37841</x:v>
      </x:c>
      <x:c r="O200" s="2" t="str">
        <x:v>Unwatched</x:v>
      </x:c>
      <x:c r="P200" s="9"/>
      <x:c r="Q200" s="6"/>
      <x:c r="R200" s="2" t="str">
        <x:v>https://www.themoviedb.org/movie/11351</x:v>
      </x:c>
      <x:c r="S200" s="10" t="str">
        <x:v>Matched</x:v>
      </x:c>
    </x:row>
    <x:row r="201" ht="90" customHeight="1">
      <x:c r="A201" s="2" t="str">
        <x:v>Jigsaw (2017)</x:v>
      </x:c>
      <x:c r="B201" s="2" t="str">
        <x:v>Jigsaw</x:v>
      </x:c>
      <x:c r="C201" s="3" t="n">
        <x:v>2017</x:v>
      </x:c>
      <x:c r="D201" s="2" t="str">
        <x:v>Blu-ray</x:v>
      </x:c>
      <x:c r="E201" s="4"/>
      <x:c r="F201" s="3" t="n">
        <x:v>298250</x:v>
      </x:c>
      <x:c r="G201" s="5" t="n">
        <x:v>6.2</x:v>
      </x:c>
      <x:c r="H201" s="2" t="str">
        <x:v>Horror, Mystery</x:v>
      </x:c>
      <x:c r="I201" s="6" t="str">
        <x:v>/7RwHxhdUNS996JPFNB9a7CJtlwR.jpg</x:v>
      </x:c>
      <x:c r="J201" s="7" t="str">
        <x:v>https://image.tmdb.org/t/p/w342/7RwHxhdUNS996JPFNB9a7CJtlwR.jpg</x:v>
      </x:c>
      <x:c r="K201" s="3" t="e">
        <x:f>IMAGE(J201)</x:f>
      </x:c>
      <x:c r="L201" s="8" t="n">
        <x:v>91</x:v>
      </x:c>
      <x:c r="M201" s="46" t="str">
        <x:v>Law enforcement finds itself chasing the ghost of a man dead for over a decade, embroiled in a diabolical new game that's only just begun.</x:v>
      </x:c>
      <x:c r="N201" s="2" t="n">
        <x:v>43033</x:v>
      </x:c>
      <x:c r="O201" s="2" t="str">
        <x:v>Unwatched</x:v>
      </x:c>
      <x:c r="P201" s="9"/>
      <x:c r="Q201" s="6"/>
      <x:c r="R201" s="2" t="str">
        <x:v>https://www.themoviedb.org/movie/298250</x:v>
      </x:c>
      <x:c r="S201" s="10" t="str">
        <x:v>Matched</x:v>
      </x:c>
    </x:row>
    <x:row r="202" ht="90" customHeight="1">
      <x:c r="A202" s="2" t="str">
        <x:v>John Wick (2014)</x:v>
      </x:c>
      <x:c r="B202" s="2" t="str">
        <x:v>John Wick</x:v>
      </x:c>
      <x:c r="C202" s="3" t="n">
        <x:v>2014</x:v>
      </x:c>
      <x:c r="D202" s="2" t="str">
        <x:v>Blu-ray</x:v>
      </x:c>
      <x:c r="E202" s="4"/>
      <x:c r="F202" s="3" t="n">
        <x:v>245891</x:v>
      </x:c>
      <x:c r="G202" s="5" t="n">
        <x:v>7.455</x:v>
      </x:c>
      <x:c r="H202" s="2" t="str">
        <x:v>Action, Thriller</x:v>
      </x:c>
      <x:c r="I202" s="6" t="str">
        <x:v>/wXqWR7dHncNRbxoEGybEy7QTe9h.jpg</x:v>
      </x:c>
      <x:c r="J202" s="7" t="str">
        <x:v>https://image.tmdb.org/t/p/w342/wXqWR7dHncNRbxoEGybEy7QTe9h.jpg</x:v>
      </x:c>
      <x:c r="K202" s="3" t="e">
        <x:f>IMAGE(J202)</x:f>
      </x:c>
      <x:c r="L202" s="8" t="n">
        <x:v>101</x:v>
      </x:c>
      <x:c r="M202" s="46" t="str">
        <x:v>Ex-hitman John Wick comes out of retirement to track down the gangsters that took everything from him.</x:v>
      </x:c>
      <x:c r="N202" s="2" t="n">
        <x:v>41928</x:v>
      </x:c>
      <x:c r="O202" s="2" t="str">
        <x:v>Unwatched</x:v>
      </x:c>
      <x:c r="P202" s="9"/>
      <x:c r="Q202" s="6"/>
      <x:c r="R202" s="2" t="str">
        <x:v>https://www.themoviedb.org/movie/245891</x:v>
      </x:c>
      <x:c r="S202" s="10" t="str">
        <x:v>Matched</x:v>
      </x:c>
    </x:row>
    <x:row r="203" ht="90" customHeight="1">
      <x:c r="A203" s="2" t="str">
        <x:v>John Wick: Chapter 2 (2017)</x:v>
      </x:c>
      <x:c r="B203" s="2" t="str">
        <x:v>John Wick: Chapter 2</x:v>
      </x:c>
      <x:c r="C203" s="3" t="n">
        <x:v>2017</x:v>
      </x:c>
      <x:c r="D203" s="2" t="str">
        <x:v>Blu-ray</x:v>
      </x:c>
      <x:c r="E203" s="4"/>
      <x:c r="F203" s="3" t="n">
        <x:v>324552</x:v>
      </x:c>
      <x:c r="G203" s="5" t="n">
        <x:v>7.337</x:v>
      </x:c>
      <x:c r="H203" s="2" t="str">
        <x:v>Action, Thriller, Crime</x:v>
      </x:c>
      <x:c r="I203" s="6" t="str">
        <x:v>/hXWBc0ioZP3cN4zCu6SN3YHXZVO.jpg</x:v>
      </x:c>
      <x:c r="J203" s="7" t="str">
        <x:v>https://image.tmdb.org/t/p/w342/hXWBc0ioZP3cN4zCu6SN3YHXZVO.jpg</x:v>
      </x:c>
      <x:c r="K203" s="3" t="e">
        <x:f>IMAGE(J203)</x:f>
      </x:c>
      <x:c r="L203" s="8" t="n">
        <x:v>122</x:v>
      </x:c>
      <x:c r="M203" s="46" t="str">
        <x:v>John Wick is forced out of retirement by a former associate looking to seize control of a shadowy international assassins’ guild. Bound by a blood oath to aid him, Wick travels to Rome and does battle against some of the world’s most dangerous killers.</x:v>
      </x:c>
      <x:c r="N203" s="2" t="n">
        <x:v>42774</x:v>
      </x:c>
      <x:c r="O203" s="2" t="str">
        <x:v>Unwatched</x:v>
      </x:c>
      <x:c r="P203" s="9"/>
      <x:c r="Q203" s="6"/>
      <x:c r="R203" s="2" t="str">
        <x:v>https://www.themoviedb.org/movie/324552</x:v>
      </x:c>
      <x:c r="S203" s="10" t="str">
        <x:v>Matched</x:v>
      </x:c>
    </x:row>
    <x:row r="204" ht="90" customHeight="1">
      <x:c r="A204" s="2" t="str">
        <x:v>John Wick: Chapter 3 - Parabellum (2019)</x:v>
      </x:c>
      <x:c r="B204" s="2" t="str">
        <x:v>John Wick: Chapter 3 - Parabellum</x:v>
      </x:c>
      <x:c r="C204" s="3" t="n">
        <x:v>2019</x:v>
      </x:c>
      <x:c r="D204" s="2" t="str">
        <x:v>Blu-ray</x:v>
      </x:c>
      <x:c r="E204" s="4"/>
      <x:c r="F204" s="3" t="n">
        <x:v>458156</x:v>
      </x:c>
      <x:c r="G204" s="5" t="n">
        <x:v>7.437</x:v>
      </x:c>
      <x:c r="H204" s="2" t="str">
        <x:v>Action, Thriller, Crime</x:v>
      </x:c>
      <x:c r="I204" s="6" t="str">
        <x:v>/ziEuG1essDuWuC5lpWUaw1uXY2O.jpg</x:v>
      </x:c>
      <x:c r="J204" s="7" t="str">
        <x:v>https://image.tmdb.org/t/p/w342/ziEuG1essDuWuC5lpWUaw1uXY2O.jpg</x:v>
      </x:c>
      <x:c r="K204" s="3" t="e">
        <x:f>IMAGE(J204)</x:f>
      </x:c>
      <x:c r="L204" s="8" t="n">
        <x:v>131</x:v>
      </x:c>
      <x:c r="M204" s="46" t="str">
        <x:v>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x:v>
      </x:c>
      <x:c r="N204" s="2" t="n">
        <x:v>43600</x:v>
      </x:c>
      <x:c r="O204" s="2" t="str">
        <x:v>Unwatched</x:v>
      </x:c>
      <x:c r="P204" s="9"/>
      <x:c r="Q204" s="6"/>
      <x:c r="R204" s="2" t="str">
        <x:v>https://www.themoviedb.org/movie/458156</x:v>
      </x:c>
      <x:c r="S204" s="10" t="str">
        <x:v>Matched</x:v>
      </x:c>
    </x:row>
    <x:row r="205" ht="90" customHeight="1">
      <x:c r="A205" s="2" t="str">
        <x:v>John Wick: Chapter 4 (2023)</x:v>
      </x:c>
      <x:c r="B205" s="2" t="str">
        <x:v>John Wick: Chapter 4</x:v>
      </x:c>
      <x:c r="C205" s="3" t="n">
        <x:v>2023</x:v>
      </x:c>
      <x:c r="D205" s="2" t="str">
        <x:v>Blu-ray</x:v>
      </x:c>
      <x:c r="E205" s="4"/>
      <x:c r="F205" s="3" t="n">
        <x:v>603692</x:v>
      </x:c>
      <x:c r="G205" s="5" t="n">
        <x:v>7.706</x:v>
      </x:c>
      <x:c r="H205" s="2" t="str">
        <x:v>Action, Thriller, Crime</x:v>
      </x:c>
      <x:c r="I205" s="6" t="str">
        <x:v>/vZloFAK7NmvMGKE7VkF5UHaz0I.jpg</x:v>
      </x:c>
      <x:c r="J205" s="7" t="str">
        <x:v>https://image.tmdb.org/t/p/w342/vZloFAK7NmvMGKE7VkF5UHaz0I.jpg</x:v>
      </x:c>
      <x:c r="K205" s="3" t="e">
        <x:f>IMAGE(J205)</x:f>
      </x:c>
      <x:c r="L205" s="8" t="n">
        <x:v>170</x:v>
      </x:c>
      <x:c r="M205" s="46" t="str">
        <x:v>With the price on his head ever increasing, John Wick uncovers a path to defeating The High Table. But before he can earn his freedom, Wick must face off against a new enemy with powerful alliances across the globe and forces that turn old friends into foes.</x:v>
      </x:c>
      <x:c r="N205" s="2" t="n">
        <x:v>45006</x:v>
      </x:c>
      <x:c r="O205" s="2" t="str">
        <x:v>Unwatched</x:v>
      </x:c>
      <x:c r="P205" s="9"/>
      <x:c r="Q205" s="6"/>
      <x:c r="R205" s="2" t="str">
        <x:v>https://www.themoviedb.org/movie/603692</x:v>
      </x:c>
      <x:c r="S205" s="10" t="str">
        <x:v>Matched</x:v>
      </x:c>
    </x:row>
    <x:row r="206" ht="90" customHeight="1">
      <x:c r="A206" s="2" t="str">
        <x:v>Ju-on: The Grudge (2002)</x:v>
      </x:c>
      <x:c r="B206" s="2" t="str">
        <x:v>Ju-on: The Grudge</x:v>
      </x:c>
      <x:c r="C206" s="3" t="n">
        <x:v>2002</x:v>
      </x:c>
      <x:c r="D206" s="2" t="str">
        <x:v>Blu-ray</x:v>
      </x:c>
      <x:c r="E206" s="4"/>
      <x:c r="F206" s="3" t="n">
        <x:v>11838</x:v>
      </x:c>
      <x:c r="G206" s="5" t="n">
        <x:v>6.762</x:v>
      </x:c>
      <x:c r="H206" s="2" t="str">
        <x:v>Horror</x:v>
      </x:c>
      <x:c r="I206" s="6" t="str">
        <x:v>/6q1hlBC6rudc3mHwXsbMBR2xAT6.jpg</x:v>
      </x:c>
      <x:c r="J206" s="7" t="str">
        <x:v>https://image.tmdb.org/t/p/w342/6q1hlBC6rudc3mHwXsbMBR2xAT6.jpg</x:v>
      </x:c>
      <x:c r="K206" s="3" t="e">
        <x:f>IMAGE(J206)</x:f>
      </x:c>
      <x:c r="L206" s="8" t="n">
        <x:v>92</x:v>
      </x:c>
      <x:c r="M206" s="46" t="str">
        <x:v>When a social worker is sent to check on a traumatized elderly woman whose family have moved in at the site of a notorious murder case, she unwittingly unleashes a cycle of terror that transmits via its victims.</x:v>
      </x:c>
      <x:c r="N206" s="2" t="n">
        <x:v>37547</x:v>
      </x:c>
      <x:c r="O206" s="2" t="str">
        <x:v>Unwatched</x:v>
      </x:c>
      <x:c r="P206" s="9"/>
      <x:c r="Q206" s="6"/>
      <x:c r="R206" s="2" t="str">
        <x:v>https://www.themoviedb.org/movie/11838</x:v>
      </x:c>
      <x:c r="S206" s="10" t="str">
        <x:v>Matched</x:v>
      </x:c>
    </x:row>
    <x:row r="207" ht="90" customHeight="1">
      <x:c r="A207" s="2" t="str">
        <x:v>Jurassic Park (1993)</x:v>
      </x:c>
      <x:c r="B207" s="2" t="str">
        <x:v>Jurassic Park</x:v>
      </x:c>
      <x:c r="C207" s="3" t="n">
        <x:v>1993</x:v>
      </x:c>
      <x:c r="D207" s="2" t="str">
        <x:v>Blu-ray</x:v>
      </x:c>
      <x:c r="E207" s="4"/>
      <x:c r="F207" s="3" t="n">
        <x:v>329</x:v>
      </x:c>
      <x:c r="G207" s="5" t="n">
        <x:v>8</x:v>
      </x:c>
      <x:c r="H207" s="2" t="str">
        <x:v>Adventure, Science Fiction</x:v>
      </x:c>
      <x:c r="I207" s="6" t="str">
        <x:v>/maFjKnJ62hDQ9E66dKqDZgbUy0H.jpg</x:v>
      </x:c>
      <x:c r="J207" s="7" t="str">
        <x:v>https://image.tmdb.org/t/p/w342/maFjKnJ62hDQ9E66dKqDZgbUy0H.jpg</x:v>
      </x:c>
      <x:c r="K207" s="3" t="e">
        <x:f>IMAGE(J207)</x:f>
      </x:c>
      <x:c r="L207" s="8" t="n">
        <x:v>127</x:v>
      </x:c>
      <x:c r="M207" s="46" t="str">
        <x: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x:v>
      </x:c>
      <x:c r="N207" s="2" t="n">
        <x:v>34131</x:v>
      </x:c>
      <x:c r="O207" s="2" t="str">
        <x:v>Unwatched</x:v>
      </x:c>
      <x:c r="P207" s="9"/>
      <x:c r="Q207" s="6"/>
      <x:c r="R207" s="2" t="str">
        <x:v>https://www.themoviedb.org/movie/329</x:v>
      </x:c>
      <x:c r="S207" s="10" t="str">
        <x:v>Matched</x:v>
      </x:c>
    </x:row>
    <x:row r="208" ht="90" customHeight="1">
      <x:c r="A208" s="2" t="str">
        <x:v>Jurassic Park III (2001)</x:v>
      </x:c>
      <x:c r="B208" s="2" t="str">
        <x:v>Jurassic Park III</x:v>
      </x:c>
      <x:c r="C208" s="3" t="n">
        <x:v>2001</x:v>
      </x:c>
      <x:c r="D208" s="2" t="str">
        <x:v>Blu-ray</x:v>
      </x:c>
      <x:c r="E208" s="4"/>
      <x:c r="F208" s="3" t="n">
        <x:v>331</x:v>
      </x:c>
      <x:c r="G208" s="5" t="n">
        <x:v>6.174</x:v>
      </x:c>
      <x:c r="H208" s="2" t="str">
        <x:v>Adventure, Thriller, Science Fiction</x:v>
      </x:c>
      <x:c r="I208" s="6" t="str">
        <x:v>/oQXj4NUfS3r3gHXtDOzcJgj1lLc.jpg</x:v>
      </x:c>
      <x:c r="J208" s="7" t="str">
        <x:v>https://image.tmdb.org/t/p/w342/oQXj4NUfS3r3gHXtDOzcJgj1lLc.jpg</x:v>
      </x:c>
      <x:c r="K208" s="3" t="e">
        <x:f>IMAGE(J208)</x:f>
      </x:c>
      <x:c r="L208" s="8" t="n">
        <x:v>92</x:v>
      </x:c>
      <x:c r="M208" s="46" t="str">
        <x:v>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x:v>
      </x:c>
      <x:c r="N208" s="2" t="n">
        <x:v>37090</x:v>
      </x:c>
      <x:c r="O208" s="2" t="str">
        <x:v>Unwatched</x:v>
      </x:c>
      <x:c r="P208" s="9"/>
      <x:c r="Q208" s="6"/>
      <x:c r="R208" s="2" t="str">
        <x:v>https://www.themoviedb.org/movie/331</x:v>
      </x:c>
      <x:c r="S208" s="10" t="str">
        <x:v>Matched</x:v>
      </x:c>
    </x:row>
    <x:row r="209" ht="90" customHeight="1">
      <x:c r="A209" s="2" t="str">
        <x:v>Jurassic World (2015)</x:v>
      </x:c>
      <x:c r="B209" s="2" t="str">
        <x:v>Jurassic World</x:v>
      </x:c>
      <x:c r="C209" s="3" t="n">
        <x:v>2015</x:v>
      </x:c>
      <x:c r="D209" s="2" t="str">
        <x:v>Blu-ray, Blu-ray</x:v>
      </x:c>
      <x:c r="E209" s="4"/>
      <x:c r="F209" s="3" t="n">
        <x:v>135397</x:v>
      </x:c>
      <x:c r="G209" s="5" t="n">
        <x:v>6.7</x:v>
      </x:c>
      <x:c r="H209" s="2" t="str">
        <x:v>Adventure, Science Fiction</x:v>
      </x:c>
      <x:c r="I209" s="6" t="str">
        <x:v>/rhr4y79GpxQF9IsfJItRXVaoGs4.jpg</x:v>
      </x:c>
      <x:c r="J209" s="7" t="str">
        <x:v>https://image.tmdb.org/t/p/w342/rhr4y79GpxQF9IsfJItRXVaoGs4.jpg</x:v>
      </x:c>
      <x:c r="K209" s="3" t="e">
        <x:f>IMAGE(J209)</x:f>
      </x:c>
      <x:c r="L209" s="8" t="n">
        <x:v>124</x:v>
      </x:c>
      <x:c r="M209" s="46" t="str">
        <x:v>Twenty-two years after the events of Jurassic Park, Isla Nublar now features a fully functioning dinosaur theme park, Jurassic World, as originally envisioned by John Hammond.</x:v>
      </x:c>
      <x:c r="N209" s="2" t="n">
        <x:v>42161</x:v>
      </x:c>
      <x:c r="O209" s="2" t="str">
        <x:v>Unwatched</x:v>
      </x:c>
      <x:c r="P209" s="9"/>
      <x:c r="Q209" s="6"/>
      <x:c r="R209" s="2" t="str">
        <x:v>https://www.themoviedb.org/movie/135397</x:v>
      </x:c>
      <x:c r="S209" s="10" t="str">
        <x:v>Matched</x:v>
      </x:c>
    </x:row>
    <x:row r="210" ht="90" customHeight="1">
      <x:c r="A210" s="2" t="str">
        <x:v>Jurassic World: Dominion (2022)</x:v>
      </x:c>
      <x:c r="B210" s="2" t="str">
        <x:v>Jurassic World: Dominion</x:v>
      </x:c>
      <x:c r="C210" s="3" t="n">
        <x:v>2022</x:v>
      </x:c>
      <x:c r="D210" s="2" t="str">
        <x:v>Blu-ray</x:v>
      </x:c>
      <x:c r="E210" s="4"/>
      <x:c r="F210" s="3" t="n">
        <x:v>507086</x:v>
      </x:c>
      <x:c r="G210" s="5" t="n">
        <x:v>6.599</x:v>
      </x:c>
      <x:c r="H210" s="2" t="str">
        <x:v>Adventure, Science Fiction, Thriller</x:v>
      </x:c>
      <x:c r="I210" s="6" t="str">
        <x:v>/jbAvCACjLf1ZG0unB2tdmx5HAf1.jpg</x:v>
      </x:c>
      <x:c r="J210" s="7" t="str">
        <x:v>https://image.tmdb.org/t/p/w342/jbAvCACjLf1ZG0unB2tdmx5HAf1.jpg</x:v>
      </x:c>
      <x:c r="K210" s="3" t="e">
        <x:f>IMAGE(J210)</x:f>
      </x:c>
      <x:c r="L210" s="8" t="n">
        <x:v>147</x:v>
      </x:c>
      <x:c r="M210" s="46" t="str">
        <x:v>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x:v>
      </x:c>
      <x:c r="N210" s="2" t="n">
        <x:v>44713</x:v>
      </x:c>
      <x:c r="O210" s="2" t="str">
        <x:v>Unwatched</x:v>
      </x:c>
      <x:c r="P210" s="9"/>
      <x:c r="Q210" s="6"/>
      <x:c r="R210" s="2" t="str">
        <x:v>https://www.themoviedb.org/movie/507086</x:v>
      </x:c>
      <x:c r="S210" s="10" t="str">
        <x:v>Matched</x:v>
      </x:c>
    </x:row>
    <x:row r="211" ht="90" customHeight="1">
      <x:c r="A211" s="2" t="str">
        <x:v>Jurassic World: Fallen Kingdom (2018)</x:v>
      </x:c>
      <x:c r="B211" s="2" t="str">
        <x:v>Jurassic World: Fallen Kingdom</x:v>
      </x:c>
      <x:c r="C211" s="3" t="n">
        <x:v>2018</x:v>
      </x:c>
      <x:c r="D211" s="2" t="str">
        <x:v>Blu-ray</x:v>
      </x:c>
      <x:c r="E211" s="4"/>
      <x:c r="F211" s="3" t="n">
        <x:v>351286</x:v>
      </x:c>
      <x:c r="G211" s="5" t="n">
        <x:v>6.531</x:v>
      </x:c>
      <x:c r="H211" s="2" t="str">
        <x:v>Adventure, Science Fiction, Thriller</x:v>
      </x:c>
      <x:c r="I211" s="6" t="str">
        <x:v>/x2Us3jR6ToMJjbcPbLimYoxf6xr.jpg</x:v>
      </x:c>
      <x:c r="J211" s="7" t="str">
        <x:v>https://image.tmdb.org/t/p/w342/x2Us3jR6ToMJjbcPbLimYoxf6xr.jpg</x:v>
      </x:c>
      <x:c r="K211" s="3" t="e">
        <x:f>IMAGE(J211)</x:f>
      </x:c>
      <x:c r="L211" s="8" t="n">
        <x:v>129</x:v>
      </x:c>
      <x:c r="M211" s="46" t="str">
        <x:v>Three years after Jurassic World was destroyed, Isla Nublar now sits abandoned. When the island's dormant volcano begins roaring to life, Owen and Claire mount a campaign to rescue the remaining dinosaurs from this extinction-level event.</x:v>
      </x:c>
      <x:c r="N211" s="2" t="n">
        <x:v>43257</x:v>
      </x:c>
      <x:c r="O211" s="2" t="str">
        <x:v>Unwatched</x:v>
      </x:c>
      <x:c r="P211" s="9"/>
      <x:c r="Q211" s="6"/>
      <x:c r="R211" s="2" t="str">
        <x:v>https://www.themoviedb.org/movie/351286</x:v>
      </x:c>
      <x:c r="S211" s="10" t="str">
        <x:v>Matched</x:v>
      </x:c>
    </x:row>
    <x:row r="212" ht="90" customHeight="1">
      <x:c r="A212" s="2" t="str">
        <x:v>Jurassic World: Rebirth (2025)</x:v>
      </x:c>
      <x:c r="B212" s="2" t="str">
        <x:v>Jurassic World: Rebirth</x:v>
      </x:c>
      <x:c r="C212" s="3" t="n">
        <x:v>2025</x:v>
      </x:c>
      <x:c r="D212" s="2" t="str">
        <x:v>Blu-ray</x:v>
      </x:c>
      <x:c r="E212" s="4"/>
      <x:c r="F212" s="3" t="n">
        <x:v>1234821</x:v>
      </x:c>
      <x:c r="G212" s="5" t="n">
        <x:v>6.3</x:v>
      </x:c>
      <x:c r="H212" s="2" t="str">
        <x:v>Science Fiction, Adventure, Action</x:v>
      </x:c>
      <x:c r="I212" s="6" t="str">
        <x:v>/1RICxzeoNCAO5NpcRMIgg1XT6fm.jpg</x:v>
      </x:c>
      <x:c r="J212" s="7" t="str">
        <x:v>https://image.tmdb.org/t/p/w342/1RICxzeoNCAO5NpcRMIgg1XT6fm.jpg</x:v>
      </x:c>
      <x:c r="K212" s="3" t="e">
        <x:f>IMAGE(J212)</x:f>
      </x:c>
      <x:c r="L212" s="8" t="n">
        <x:v>134</x:v>
      </x:c>
      <x:c r="M212" s="46" t="str">
        <x:v>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x:v>
      </x:c>
      <x:c r="N212" s="2" t="n">
        <x:v>45831</x:v>
      </x:c>
      <x:c r="O212" s="2" t="str">
        <x:v>Unwatched</x:v>
      </x:c>
      <x:c r="P212" s="9"/>
      <x:c r="Q212" s="6"/>
      <x:c r="R212" s="2" t="str">
        <x:v>https://www.themoviedb.org/movie/1234821</x:v>
      </x:c>
      <x:c r="S212" s="10" t="str">
        <x:v>Matched</x:v>
      </x:c>
    </x:row>
    <x:row r="213" ht="90" customHeight="1">
      <x:c r="A213" s="2" t="str">
        <x:v>Kick-Ass (2010)</x:v>
      </x:c>
      <x:c r="B213" s="2" t="str">
        <x:v>Kick-Ass</x:v>
      </x:c>
      <x:c r="C213" s="3" t="n">
        <x:v>2010</x:v>
      </x:c>
      <x:c r="D213" s="2" t="str">
        <x:v>Blu-ray</x:v>
      </x:c>
      <x:c r="E213" s="4"/>
      <x:c r="F213" s="3" t="n">
        <x:v>23483</x:v>
      </x:c>
      <x:c r="G213" s="5" t="n">
        <x:v>7.125</x:v>
      </x:c>
      <x:c r="H213" s="2" t="str">
        <x:v>Action, Crime</x:v>
      </x:c>
      <x:c r="I213" s="6" t="str">
        <x:v>/iHMbrTHJwocsNvo5murCBw0CwTo.jpg</x:v>
      </x:c>
      <x:c r="J213" s="7" t="str">
        <x:v>https://image.tmdb.org/t/p/w342/iHMbrTHJwocsNvo5murCBw0CwTo.jpg</x:v>
      </x:c>
      <x:c r="K213" s="3" t="e">
        <x:f>IMAGE(J213)</x:f>
      </x:c>
      <x:c r="L213" s="8" t="n">
        <x:v>118</x:v>
      </x:c>
      <x:c r="M213" s="46" t="str">
        <x:v>Dave Lizewski is an unnoticed high school student and comic book fan who one day decides to become a super-hero, even though he has no powers, training or meaningful reason to do so.</x:v>
      </x:c>
      <x:c r="N213" s="2" t="n">
        <x:v>40263</x:v>
      </x:c>
      <x:c r="O213" s="2" t="str">
        <x:v>Unwatched</x:v>
      </x:c>
      <x:c r="P213" s="9"/>
      <x:c r="Q213" s="6"/>
      <x:c r="R213" s="2" t="str">
        <x:v>https://www.themoviedb.org/movie/23483</x:v>
      </x:c>
      <x:c r="S213" s="10" t="str">
        <x:v>Matched</x:v>
      </x:c>
    </x:row>
    <x:row r="214" ht="90" customHeight="1">
      <x:c r="A214" s="2" t="str">
        <x:v>Kick-Ass 2 (2013)</x:v>
      </x:c>
      <x:c r="B214" s="2" t="str">
        <x:v>Kick-Ass 2</x:v>
      </x:c>
      <x:c r="C214" s="3" t="n">
        <x:v>2013</x:v>
      </x:c>
      <x:c r="D214" s="2" t="str">
        <x:v>Blu-ray</x:v>
      </x:c>
      <x:c r="E214" s="4"/>
      <x:c r="F214" s="3" t="n">
        <x:v>59859</x:v>
      </x:c>
      <x:c r="G214" s="5" t="n">
        <x:v>6.4</x:v>
      </x:c>
      <x:c r="H214" s="2" t="str">
        <x:v>Action, Adventure, Crime</x:v>
      </x:c>
      <x:c r="I214" s="6" t="str">
        <x:v>/1go2A3gdQjaMuHWquybgoJlQRcX.jpg</x:v>
      </x:c>
      <x:c r="J214" s="7" t="str">
        <x:v>https://image.tmdb.org/t/p/w342/1go2A3gdQjaMuHWquybgoJlQRcX.jpg</x:v>
      </x:c>
      <x:c r="K214" s="3" t="e">
        <x:f>IMAGE(J214)</x:f>
      </x:c>
      <x:c r="L214" s="8" t="n">
        <x:v>103</x:v>
      </x:c>
      <x:c r="M214" s="46" t="str">
        <x:v>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x:v>
      </x:c>
      <x:c r="N214" s="2" t="n">
        <x:v>41472</x:v>
      </x:c>
      <x:c r="O214" s="2" t="str">
        <x:v>Unwatched</x:v>
      </x:c>
      <x:c r="P214" s="9"/>
      <x:c r="Q214" s="6"/>
      <x:c r="R214" s="2" t="str">
        <x:v>https://www.themoviedb.org/movie/59859</x:v>
      </x:c>
      <x:c r="S214" s="10" t="str">
        <x:v>Matched</x:v>
      </x:c>
    </x:row>
    <x:row r="215" ht="90" customHeight="1">
      <x:c r="A215" s="2" t="str">
        <x:v>King Kong (2005)</x:v>
      </x:c>
      <x:c r="B215" s="2" t="str">
        <x:v>King Kong</x:v>
      </x:c>
      <x:c r="C215" s="3" t="n">
        <x:v>2005</x:v>
      </x:c>
      <x:c r="D215" s="2" t="str">
        <x:v>Blu-ray</x:v>
      </x:c>
      <x:c r="E215" s="4"/>
      <x:c r="F215" s="3" t="n">
        <x:v>254</x:v>
      </x:c>
      <x:c r="G215" s="5" t="n">
        <x:v>6.888</x:v>
      </x:c>
      <x:c r="H215" s="2" t="str">
        <x:v>Adventure, Drama, Action</x:v>
      </x:c>
      <x:c r="I215" s="6" t="str">
        <x:v>/6a2HY6UmD7XiDD3NokgaBAXEsD2.jpg</x:v>
      </x:c>
      <x:c r="J215" s="7" t="str">
        <x:v>https://image.tmdb.org/t/p/w342/6a2HY6UmD7XiDD3NokgaBAXEsD2.jpg</x:v>
      </x:c>
      <x:c r="K215" s="3" t="e">
        <x:f>IMAGE(J215)</x:f>
      </x:c>
      <x:c r="L215" s="8" t="n">
        <x:v>188</x:v>
      </x:c>
      <x:c r="M215" s="46" t="str">
        <x:v>In 1933 New York, an overly ambitious movie producer coerces his cast and hired ship crew to travel to mysterious Skull Island, where they encounter Kong, a giant ape who is immediately smitten with the leading lady.</x:v>
      </x:c>
      <x:c r="N215" s="2" t="n">
        <x:v>38698</x:v>
      </x:c>
      <x:c r="O215" s="2" t="str">
        <x:v>Unwatched</x:v>
      </x:c>
      <x:c r="P215" s="9"/>
      <x:c r="Q215" s="6"/>
      <x:c r="R215" s="2" t="str">
        <x:v>https://www.themoviedb.org/movie/254</x:v>
      </x:c>
      <x:c r="S215" s="10" t="str">
        <x:v>Matched</x:v>
      </x:c>
    </x:row>
    <x:row r="216" ht="90" customHeight="1">
      <x:c r="A216" s="2" t="str">
        <x:v>Knowing (2009)</x:v>
      </x:c>
      <x:c r="B216" s="2" t="str">
        <x:v>Knowing</x:v>
      </x:c>
      <x:c r="C216" s="3" t="n">
        <x:v>2009</x:v>
      </x:c>
      <x:c r="D216" s="2" t="str">
        <x:v>Blu-ray</x:v>
      </x:c>
      <x:c r="E216" s="4"/>
      <x:c r="F216" s="3" t="n">
        <x:v>13811</x:v>
      </x:c>
      <x:c r="G216" s="5" t="n">
        <x:v>6.254</x:v>
      </x:c>
      <x:c r="H216" s="2" t="str">
        <x:v>Action, Mystery, Science Fiction, Thriller</x:v>
      </x:c>
      <x:c r="I216" s="6" t="str">
        <x:v>/OG0mxQt4YaNIWiz8EKJSHe9lPh.jpg</x:v>
      </x:c>
      <x:c r="J216" s="7" t="str">
        <x:v>https://image.tmdb.org/t/p/w342/OG0mxQt4YaNIWiz8EKJSHe9lPh.jpg</x:v>
      </x:c>
      <x:c r="K216" s="3" t="e">
        <x:f>IMAGE(J216)</x:f>
      </x:c>
      <x:c r="L216" s="8" t="n">
        <x:v>121</x:v>
      </x:c>
      <x:c r="M216" s="46" t="str">
        <x:v>A teacher opens a time capsule that has been dug up at his son's elementary school; in it are some chilling predictions -- some that have already occurred and others that are about to -- that lead him to believe his family plays a role in the events that are about to unfold.</x:v>
      </x:c>
      <x:c r="N216" s="2" t="n">
        <x:v>39891</x:v>
      </x:c>
      <x:c r="O216" s="2" t="str">
        <x:v>Unwatched</x:v>
      </x:c>
      <x:c r="P216" s="9"/>
      <x:c r="Q216" s="6"/>
      <x:c r="R216" s="2" t="str">
        <x:v>https://www.themoviedb.org/movie/13811</x:v>
      </x:c>
      <x:c r="S216" s="10" t="str">
        <x:v>Matched</x:v>
      </x:c>
    </x:row>
    <x:row r="217" ht="90" customHeight="1">
      <x:c r="A217" s="2" t="str">
        <x:v>Kong: Skull Island (2017)</x:v>
      </x:c>
      <x:c r="B217" s="2" t="str">
        <x:v>Kong: Skull Island</x:v>
      </x:c>
      <x:c r="C217" s="3" t="n">
        <x:v>2017</x:v>
      </x:c>
      <x:c r="D217" s="2" t="str">
        <x:v>Blu-ray</x:v>
      </x:c>
      <x:c r="E217" s="4"/>
      <x:c r="F217" s="3" t="n">
        <x:v>293167</x:v>
      </x:c>
      <x:c r="G217" s="5" t="n">
        <x:v>6.6</x:v>
      </x:c>
      <x:c r="H217" s="2" t="str">
        <x:v>Action, Adventure, Fantasy</x:v>
      </x:c>
      <x:c r="I217" s="6" t="str">
        <x:v>/r2517Vz9EhDhj88qwbDVj8DCRZN.jpg</x:v>
      </x:c>
      <x:c r="J217" s="7" t="str">
        <x:v>https://image.tmdb.org/t/p/w342/r2517Vz9EhDhj88qwbDVj8DCRZN.jpg</x:v>
      </x:c>
      <x:c r="K217" s="3" t="e">
        <x:f>IMAGE(J217)</x:f>
      </x:c>
      <x:c r="L217" s="8" t="n">
        <x:v>118</x:v>
      </x:c>
      <x:c r="M217" s="46" t="str">
        <x:v>Explore the mysterious and dangerous home of the king of the apes as a team of explorers ventures deep inside the treacherous, primordial island.</x:v>
      </x:c>
      <x:c r="N217" s="2" t="n">
        <x:v>42802</x:v>
      </x:c>
      <x:c r="O217" s="2" t="str">
        <x:v>Unwatched</x:v>
      </x:c>
      <x:c r="P217" s="9"/>
      <x:c r="Q217" s="6"/>
      <x:c r="R217" s="2" t="str">
        <x:v>https://www.themoviedb.org/movie/293167</x:v>
      </x:c>
      <x:c r="S217" s="10" t="str">
        <x:v>Matched</x:v>
      </x:c>
    </x:row>
    <x:row r="218" ht="90" customHeight="1">
      <x:c r="A218" s="2" t="str">
        <x:v>Krampus (2015)</x:v>
      </x:c>
      <x:c r="B218" s="2" t="str">
        <x:v>Krampus</x:v>
      </x:c>
      <x:c r="C218" s="3" t="n">
        <x:v>2015</x:v>
      </x:c>
      <x:c r="D218" s="2" t="str">
        <x:v>Blu-ray</x:v>
      </x:c>
      <x:c r="E218" s="4"/>
      <x:c r="F218" s="3" t="n">
        <x:v>287903</x:v>
      </x:c>
      <x:c r="G218" s="5" t="n">
        <x:v>6.202</x:v>
      </x:c>
      <x:c r="H218" s="2" t="str">
        <x:v>Horror, Comedy, Fantasy</x:v>
      </x:c>
      <x:c r="I218" s="6" t="str">
        <x:v>/mzPCU6xQ2XQmD76cDVZPm5PZAaS.jpg</x:v>
      </x:c>
      <x:c r="J218" s="7" t="str">
        <x:v>https://image.tmdb.org/t/p/w342/mzPCU6xQ2XQmD76cDVZPm5PZAaS.jpg</x:v>
      </x:c>
      <x:c r="K218" s="3" t="e">
        <x:f>IMAGE(J218)</x:f>
      </x:c>
      <x:c r="L218" s="8" t="n">
        <x:v>98</x:v>
      </x:c>
      <x:c r="M218" s="46" t="str">
        <x:v>When his dysfunctional family clashes over the holidays, young Max is disillusioned and turns his back on Christmas.  Little does he know, this lack of festive spirit has unleashed the wrath of Krampus: a demonic force of ancient evil intent on punishing non-believers.</x:v>
      </x:c>
      <x:c r="N218" s="2" t="n">
        <x:v>42334</x:v>
      </x:c>
      <x:c r="O218" s="2" t="str">
        <x:v>Unwatched</x:v>
      </x:c>
      <x:c r="P218" s="9"/>
      <x:c r="Q218" s="6"/>
      <x:c r="R218" s="2" t="str">
        <x:v>https://www.themoviedb.org/movie/287903</x:v>
      </x:c>
      <x:c r="S218" s="10" t="str">
        <x:v>Matched</x:v>
      </x:c>
    </x:row>
    <x:row r="219" ht="90" customHeight="1">
      <x:c r="A219" s="2" t="str">
        <x:v>Labyrinth (1986)</x:v>
      </x:c>
      <x:c r="B219" s="2" t="str">
        <x:v>Labyrinth</x:v>
      </x:c>
      <x:c r="C219" s="3" t="n">
        <x:v>1986</x:v>
      </x:c>
      <x:c r="D219" s="2" t="str">
        <x:v>Blu-ray</x:v>
      </x:c>
      <x:c r="E219" s="4"/>
      <x:c r="F219" s="3" t="n">
        <x:v>13597</x:v>
      </x:c>
      <x:c r="G219" s="5" t="n">
        <x:v>7.281</x:v>
      </x:c>
      <x:c r="H219" s="2" t="str">
        <x:v>Adventure, Family, Fantasy</x:v>
      </x:c>
      <x:c r="I219" s="6" t="str">
        <x:v>/hbSdA1DmNA9IlfVoqJkIWYF2oYm.jpg</x:v>
      </x:c>
      <x:c r="J219" s="7" t="str">
        <x:v>https://image.tmdb.org/t/p/w342/hbSdA1DmNA9IlfVoqJkIWYF2oYm.jpg</x:v>
      </x:c>
      <x:c r="K219" s="3" t="e">
        <x:f>IMAGE(J219)</x:f>
      </x:c>
      <x:c r="L219" s="8" t="n">
        <x:v>101</x:v>
      </x:c>
      <x:c r="M219" s="46" t="str">
        <x:v>Frustrated with babysitting on yet another weekend night, Sarah, a teenager with an active imagination, summons the Goblins to take her baby stepbrother away. When little Toby actually disappears, Sarah must follow him into a fantastical world to rescue him from the Goblin King. Guarding his castle is the labyrinth itself, a twisted maze of deception, populated with outrageous characters and unknown dangers.</x:v>
      </x:c>
      <x:c r="N219" s="2" t="n">
        <x:v>31590</x:v>
      </x:c>
      <x:c r="O219" s="2" t="str">
        <x:v>Unwatched</x:v>
      </x:c>
      <x:c r="P219" s="9"/>
      <x:c r="Q219" s="6"/>
      <x:c r="R219" s="2" t="str">
        <x:v>https://www.themoviedb.org/movie/13597</x:v>
      </x:c>
      <x:c r="S219" s="10" t="str">
        <x:v>Matched</x:v>
      </x:c>
    </x:row>
    <x:row r="220" ht="90" customHeight="1">
      <x:c r="A220" s="2" t="str">
        <x:v>Lake Mungo (2008)</x:v>
      </x:c>
      <x:c r="B220" s="2" t="str">
        <x:v>Lake Mungo</x:v>
      </x:c>
      <x:c r="C220" s="3" t="n">
        <x:v>2008</x:v>
      </x:c>
      <x:c r="D220" s="2" t="str">
        <x:v>Blu-ray</x:v>
      </x:c>
      <x:c r="E220" s="4"/>
      <x:c r="F220" s="3" t="n">
        <x:v>27374</x:v>
      </x:c>
      <x:c r="G220" s="5" t="n">
        <x:v>6.162</x:v>
      </x:c>
      <x:c r="H220" s="2" t="str">
        <x:v>Horror, Thriller</x:v>
      </x:c>
      <x:c r="I220" s="6" t="str">
        <x:v>/g0zCELYfBfSv8TOGC13buABVN53.jpg</x:v>
      </x:c>
      <x:c r="J220" s="7" t="str">
        <x:v>https://image.tmdb.org/t/p/w342/g0zCELYfBfSv8TOGC13buABVN53.jpg</x:v>
      </x:c>
      <x:c r="K220" s="3" t="e">
        <x:f>IMAGE(J220)</x:f>
      </x:c>
      <x:c r="L220" s="8" t="n">
        <x:v>87</x:v>
      </x:c>
      <x:c r="M220" s="46" t="str">
        <x:v>After 16-year-old Alice Palmer drowns at a local dam, her family experiences a series of strange, inexplicable events centered in and around their home. Unsettled, the Palmers seek the help of a psychic and parapsychologist, who discovers that Alice led a secret, double life. At Lake Mungo, Alice's secret past emerges.</x:v>
      </x:c>
      <x:c r="N220" s="2" t="n">
        <x:v>40024</x:v>
      </x:c>
      <x:c r="O220" s="2" t="str">
        <x:v>Unwatched</x:v>
      </x:c>
      <x:c r="P220" s="9"/>
      <x:c r="Q220" s="6"/>
      <x:c r="R220" s="2" t="str">
        <x:v>https://www.themoviedb.org/movie/27374</x:v>
      </x:c>
      <x:c r="S220" s="10" t="str">
        <x:v>Matched</x:v>
      </x:c>
    </x:row>
    <x:row r="221" ht="90" customHeight="1">
      <x:c r="A221" s="2" t="str">
        <x:v>Land of the Dead (2005)</x:v>
      </x:c>
      <x:c r="B221" s="2" t="str">
        <x:v>Land of the Dead</x:v>
      </x:c>
      <x:c r="C221" s="3" t="n">
        <x:v>2005</x:v>
      </x:c>
      <x:c r="D221" s="2" t="str">
        <x:v>Blu-ray</x:v>
      </x:c>
      <x:c r="E221" s="4"/>
      <x:c r="F221" s="3" t="n">
        <x:v>11683</x:v>
      </x:c>
      <x:c r="G221" s="5" t="n">
        <x:v>6.257</x:v>
      </x:c>
      <x:c r="H221" s="2" t="str">
        <x:v>Horror, Science Fiction, Thriller</x:v>
      </x:c>
      <x:c r="I221" s="6" t="str">
        <x:v>/xxp0qcZ3n2YA53SIzWilDSfIaA4.jpg</x:v>
      </x:c>
      <x:c r="J221" s="7" t="str">
        <x:v>https://image.tmdb.org/t/p/w342/xxp0qcZ3n2YA53SIzWilDSfIaA4.jpg</x:v>
      </x:c>
      <x:c r="K221" s="3" t="e">
        <x:f>IMAGE(J221)</x:f>
      </x:c>
      <x:c r="L221" s="8" t="n">
        <x:v>93</x:v>
      </x:c>
      <x:c r="M221" s="46" t="str">
        <x:v>The living dead have taken over the world, and the remaining humans live in a walled city to protect themselves as they cope with the situation.</x:v>
      </x:c>
      <x:c r="N221" s="2" t="n">
        <x:v>38521</x:v>
      </x:c>
      <x:c r="O221" s="2" t="str">
        <x:v>Unwatched</x:v>
      </x:c>
      <x:c r="P221" s="9"/>
      <x:c r="Q221" s="6"/>
      <x:c r="R221" s="2" t="str">
        <x:v>https://www.themoviedb.org/movie/11683</x:v>
      </x:c>
      <x:c r="S221" s="10" t="str">
        <x:v>Matched</x:v>
      </x:c>
    </x:row>
    <x:row r="222" ht="90" customHeight="1">
      <x:c r="A222" s="2" t="str">
        <x:v>The Last House on the Left (2009)</x:v>
      </x:c>
      <x:c r="B222" s="2" t="str">
        <x:v>The Last House on the Left</x:v>
      </x:c>
      <x:c r="C222" s="3" t="n">
        <x:v>2009</x:v>
      </x:c>
      <x:c r="D222" s="2" t="str">
        <x:v>Blu-ray</x:v>
      </x:c>
      <x:c r="E222" s="4"/>
      <x:c r="F222" s="3" t="n">
        <x:v>18405</x:v>
      </x:c>
      <x:c r="G222" s="5" t="n">
        <x:v>6.493</x:v>
      </x:c>
      <x:c r="H222" s="2" t="str">
        <x:v>Crime, Thriller, Horror, Drama</x:v>
      </x:c>
      <x:c r="I222" s="6" t="str">
        <x:v>/2Y35XCUS8U8vC8vs0HDEVkPu1BM.jpg</x:v>
      </x:c>
      <x:c r="J222" s="7" t="str">
        <x:v>https://image.tmdb.org/t/p/w342/2Y35XCUS8U8vC8vs0HDEVkPu1BM.jpg</x:v>
      </x:c>
      <x:c r="K222" s="3" t="e">
        <x:f>IMAGE(J222)</x:f>
      </x:c>
      <x:c r="L222" s="8" t="n">
        <x:v>113</x:v>
      </x:c>
      <x:c r="M222" s="46" t="str">
        <x:v>When athletic teen Mari Collingwood opts to hang out with her friend Paige in town rather than spend an evening in with her parents vacationing at the family's remote lake house, it marks the beginning of a night no one is going to forget.</x:v>
      </x:c>
      <x:c r="N222" s="2" t="n">
        <x:v>39885</x:v>
      </x:c>
      <x:c r="O222" s="2" t="str">
        <x:v>Unwatched</x:v>
      </x:c>
      <x:c r="P222" s="9"/>
      <x:c r="Q222" s="6"/>
      <x:c r="R222" s="2" t="str">
        <x:v>https://www.themoviedb.org/movie/18405</x:v>
      </x:c>
      <x:c r="S222" s="10" t="str">
        <x:v>Matched</x:v>
      </x:c>
    </x:row>
    <x:row r="223" ht="90" customHeight="1">
      <x:c r="A223" s="2" t="str">
        <x:v>Lights Out (2016)</x:v>
      </x:c>
      <x:c r="B223" s="2" t="str">
        <x:v>Lights Out</x:v>
      </x:c>
      <x:c r="C223" s="3" t="n">
        <x:v>2016</x:v>
      </x:c>
      <x:c r="D223" s="2" t="str">
        <x:v>Blu-ray</x:v>
      </x:c>
      <x:c r="E223" s="4"/>
      <x:c r="F223" s="3" t="n">
        <x:v>345911</x:v>
      </x:c>
      <x:c r="G223" s="5" t="n">
        <x:v>6.37</x:v>
      </x:c>
      <x:c r="H223" s="2" t="str">
        <x:v>Horror</x:v>
      </x:c>
      <x:c r="I223" s="6" t="str">
        <x:v>/8BnElzAQQpp7ZgdJJiAe1diomr4.jpg</x:v>
      </x:c>
      <x:c r="J223" s="7" t="str">
        <x:v>https://image.tmdb.org/t/p/w342/8BnElzAQQpp7ZgdJJiAe1diomr4.jpg</x:v>
      </x:c>
      <x:c r="K223" s="3" t="e">
        <x:f>IMAGE(J223)</x:f>
      </x:c>
      <x:c r="L223" s="8" t="n">
        <x:v>81</x:v>
      </x:c>
      <x:c r="M223" s="46" t="str">
        <x:v>Rebecca must unlock the terror behind her little brother's experiences that once tested her sanity, bringing her face to face with a supernatural spirit attached to their mother.</x:v>
      </x:c>
      <x:c r="N223" s="2" t="n">
        <x:v>42572</x:v>
      </x:c>
      <x:c r="O223" s="2" t="str">
        <x:v>Unwatched</x:v>
      </x:c>
      <x:c r="P223" s="9"/>
      <x:c r="Q223" s="6"/>
      <x:c r="R223" s="2" t="str">
        <x:v>https://www.themoviedb.org/movie/345911</x:v>
      </x:c>
      <x:c r="S223" s="10" t="str">
        <x:v>Matched</x:v>
      </x:c>
    </x:row>
    <x:row r="224" ht="90" customHeight="1">
      <x:c r="A224" s="2" t="str">
        <x:v>The Lord of the Rings: The Fellowship of the Ring (2001)</x:v>
      </x:c>
      <x:c r="B224" s="2" t="str">
        <x:v>The Lord of the Rings: The Fellowship of the Ring</x:v>
      </x:c>
      <x:c r="C224" s="3" t="n">
        <x:v>2001</x:v>
      </x:c>
      <x:c r="D224" s="2" t="str">
        <x:v>Blu-ray</x:v>
      </x:c>
      <x:c r="E224" s="4"/>
      <x:c r="F224" s="3" t="n">
        <x:v>120</x:v>
      </x:c>
      <x:c r="G224" s="5" t="n">
        <x:v>8.435</x:v>
      </x:c>
      <x:c r="H224" s="2" t="str">
        <x:v>Adventure, Fantasy, Action</x:v>
      </x:c>
      <x:c r="I224" s="6" t="str">
        <x:v>/6oom5QYQ2yQTMJIbnvbkBL9cHo6.jpg</x:v>
      </x:c>
      <x:c r="J224" s="7" t="str">
        <x:v>https://image.tmdb.org/t/p/w342/6oom5QYQ2yQTMJIbnvbkBL9cHo6.jpg</x:v>
      </x:c>
      <x:c r="K224" s="3" t="e">
        <x:f>IMAGE(J224)</x:f>
      </x:c>
      <x:c r="L224" s="8" t="n">
        <x:v>179</x:v>
      </x:c>
      <x:c r="M224" s="46" t="str">
        <x: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x:v>
      </x:c>
      <x:c r="N224" s="2" t="n">
        <x:v>37243</x:v>
      </x:c>
      <x:c r="O224" s="2" t="str">
        <x:v>Unwatched</x:v>
      </x:c>
      <x:c r="P224" s="9"/>
      <x:c r="Q224" s="6"/>
      <x:c r="R224" s="2" t="str">
        <x:v>https://www.themoviedb.org/movie/120</x:v>
      </x:c>
      <x:c r="S224" s="10" t="str">
        <x:v>Matched</x:v>
      </x:c>
    </x:row>
    <x:row r="225" ht="90" customHeight="1">
      <x:c r="A225" s="2" t="str">
        <x:v>The Lord of the Rings: The Return of the King (2003)</x:v>
      </x:c>
      <x:c r="B225" s="2" t="str">
        <x:v>The Lord of the Rings: The Return of the King</x:v>
      </x:c>
      <x:c r="C225" s="3" t="n">
        <x:v>2003</x:v>
      </x:c>
      <x:c r="D225" s="2" t="str">
        <x:v>Blu-ray</x:v>
      </x:c>
      <x:c r="E225" s="4"/>
      <x:c r="F225" s="3" t="n">
        <x:v>122</x:v>
      </x:c>
      <x:c r="G225" s="5" t="n">
        <x:v>8.498</x:v>
      </x:c>
      <x:c r="H225" s="2" t="str">
        <x:v>Adventure, Fantasy, Action</x:v>
      </x:c>
      <x:c r="I225" s="6" t="str">
        <x:v>/rCzpDGLbOoPwLjy3OAm5NUPOTrC.jpg</x:v>
      </x:c>
      <x:c r="J225" s="7" t="str">
        <x:v>https://image.tmdb.org/t/p/w342/rCzpDGLbOoPwLjy3OAm5NUPOTrC.jpg</x:v>
      </x:c>
      <x:c r="K225" s="3" t="e">
        <x:f>IMAGE(J225)</x:f>
      </x:c>
      <x:c r="L225" s="8" t="n">
        <x:v>201</x:v>
      </x:c>
      <x:c r="M225" s="46" t="str">
        <x:v>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x:v>
      </x:c>
      <x:c r="N225" s="2" t="n">
        <x:v>37972</x:v>
      </x:c>
      <x:c r="O225" s="2" t="str">
        <x:v>Unwatched</x:v>
      </x:c>
      <x:c r="P225" s="9"/>
      <x:c r="Q225" s="6"/>
      <x:c r="R225" s="2" t="str">
        <x:v>https://www.themoviedb.org/movie/122</x:v>
      </x:c>
      <x:c r="S225" s="10" t="str">
        <x:v>Matched</x:v>
      </x:c>
    </x:row>
    <x:row r="226" ht="90" customHeight="1">
      <x:c r="A226" s="2" t="str">
        <x:v>The Lord of the Rings: The Two Towers (2002)</x:v>
      </x:c>
      <x:c r="B226" s="2" t="str">
        <x:v>The Lord of the Rings: The Two Towers</x:v>
      </x:c>
      <x:c r="C226" s="3" t="n">
        <x:v>2002</x:v>
      </x:c>
      <x:c r="D226" s="2" t="str">
        <x:v>Blu-ray</x:v>
      </x:c>
      <x:c r="E226" s="4"/>
      <x:c r="F226" s="3" t="n">
        <x:v>121</x:v>
      </x:c>
      <x:c r="G226" s="5" t="n">
        <x:v>8.419</x:v>
      </x:c>
      <x:c r="H226" s="2" t="str">
        <x:v>Adventure, Fantasy, Action</x:v>
      </x:c>
      <x:c r="I226" s="6" t="str">
        <x:v>/5VTN0pR8gcqV3EPUHHfMGnJYN9L.jpg</x:v>
      </x:c>
      <x:c r="J226" s="7" t="str">
        <x:v>https://image.tmdb.org/t/p/w342/5VTN0pR8gcqV3EPUHHfMGnJYN9L.jpg</x:v>
      </x:c>
      <x:c r="K226" s="3" t="e">
        <x:f>IMAGE(J226)</x:f>
      </x:c>
      <x:c r="L226" s="8" t="n">
        <x:v>179</x:v>
      </x:c>
      <x:c r="M226" s="46" t="str">
        <x:v>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x:v>
      </x:c>
      <x:c r="N226" s="2" t="n">
        <x:v>37608</x:v>
      </x:c>
      <x:c r="O226" s="2" t="str">
        <x:v>Unwatched</x:v>
      </x:c>
      <x:c r="P226" s="9"/>
      <x:c r="Q226" s="6"/>
      <x:c r="R226" s="2" t="str">
        <x:v>https://www.themoviedb.org/movie/121</x:v>
      </x:c>
      <x:c r="S226" s="10" t="str">
        <x:v>Matched</x:v>
      </x:c>
    </x:row>
    <x:row r="227" ht="90" customHeight="1">
      <x:c r="A227" s="2" t="str">
        <x:v>The Lost World: Jurassic Park (1997)</x:v>
      </x:c>
      <x:c r="B227" s="2" t="str">
        <x:v>The Lost World: Jurassic Park</x:v>
      </x:c>
      <x:c r="C227" s="3" t="n">
        <x:v>1997</x:v>
      </x:c>
      <x:c r="D227" s="2" t="str">
        <x:v>Blu-ray</x:v>
      </x:c>
      <x:c r="E227" s="4"/>
      <x:c r="F227" s="3" t="n">
        <x:v>330</x:v>
      </x:c>
      <x:c r="G227" s="5" t="n">
        <x:v>6.565</x:v>
      </x:c>
      <x:c r="H227" s="2" t="str">
        <x:v>Adventure, Action, Science Fiction</x:v>
      </x:c>
      <x:c r="I227" s="6" t="str">
        <x:v>/6fSkhv35nPSw9hwPVCMINQFG1WD.jpg</x:v>
      </x:c>
      <x:c r="J227" s="7" t="str">
        <x:v>https://image.tmdb.org/t/p/w342/6fSkhv35nPSw9hwPVCMINQFG1WD.jpg</x:v>
      </x:c>
      <x:c r="K227" s="3" t="e">
        <x:f>IMAGE(J227)</x:f>
      </x:c>
      <x:c r="L227" s="8" t="n">
        <x:v>129</x:v>
      </x:c>
      <x:c r="M227" s="46" t="str">
        <x:v>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x:v>
      </x:c>
      <x:c r="N227" s="2" t="n">
        <x:v>35573</x:v>
      </x:c>
      <x:c r="O227" s="2" t="str">
        <x:v>Unwatched</x:v>
      </x:c>
      <x:c r="P227" s="9"/>
      <x:c r="Q227" s="6"/>
      <x:c r="R227" s="2" t="str">
        <x:v>https://www.themoviedb.org/movie/330</x:v>
      </x:c>
      <x:c r="S227" s="10" t="str">
        <x:v>Matched</x:v>
      </x:c>
    </x:row>
    <x:row r="228" ht="90" customHeight="1">
      <x:c r="A228" s="2" t="str">
        <x:v>M3GAN (2022)</x:v>
      </x:c>
      <x:c r="B228" s="2" t="str">
        <x:v>M3GAN</x:v>
      </x:c>
      <x:c r="C228" s="3" t="n">
        <x:v>2022</x:v>
      </x:c>
      <x:c r="D228" s="2" t="str">
        <x:v>Blu-ray</x:v>
      </x:c>
      <x:c r="E228" s="4"/>
      <x:c r="F228" s="3" t="n">
        <x:v>536554</x:v>
      </x:c>
      <x:c r="G228" s="5" t="n">
        <x:v>7.023</x:v>
      </x:c>
      <x:c r="H228" s="2" t="str">
        <x:v>Science Fiction, Horror</x:v>
      </x:c>
      <x:c r="I228" s="6" t="str">
        <x:v>/d9nBoowhjiiYc4FBNtQkPY7c11H.jpg</x:v>
      </x:c>
      <x:c r="J228" s="7" t="str">
        <x:v>https://image.tmdb.org/t/p/w342/d9nBoowhjiiYc4FBNtQkPY7c11H.jpg</x:v>
      </x:c>
      <x:c r="K228" s="3" t="e">
        <x:f>IMAGE(J228)</x:f>
      </x:c>
      <x:c r="L228" s="8" t="n">
        <x:v>102</x:v>
      </x:c>
      <x:c r="M228" s="46" t="str">
        <x:v>A brilliant toy company roboticist uses artificial intelligence to develop M3GAN, a life-like doll programmed to emotionally bond with her newly orphaned niece. But when the doll's programming works too well, she becomes overprotective of her new friend with terrifying results.</x:v>
      </x:c>
      <x:c r="N228" s="2" t="n">
        <x:v>44923</x:v>
      </x:c>
      <x:c r="O228" s="2" t="str">
        <x:v>Unwatched</x:v>
      </x:c>
      <x:c r="P228" s="9"/>
      <x:c r="Q228" s="6"/>
      <x:c r="R228" s="2" t="str">
        <x:v>https://www.themoviedb.org/movie/536554</x:v>
      </x:c>
      <x:c r="S228" s="10" t="str">
        <x:v>Matched</x:v>
      </x:c>
    </x:row>
    <x:row r="229" ht="90" customHeight="1">
      <x:c r="A229" s="2" t="str">
        <x:v>Maleficent: Mistress of Evil (2019)</x:v>
      </x:c>
      <x:c r="B229" s="2" t="str">
        <x:v>Maleficent: Mistress of Evil</x:v>
      </x:c>
      <x:c r="C229" s="3" t="n">
        <x:v>2019</x:v>
      </x:c>
      <x:c r="D229" s="2" t="str">
        <x:v>Blu-ray</x:v>
      </x:c>
      <x:c r="E229" s="4"/>
      <x:c r="F229" s="3" t="n">
        <x:v>420809</x:v>
      </x:c>
      <x:c r="G229" s="5" t="n">
        <x:v>7.296</x:v>
      </x:c>
      <x:c r="H229" s="2" t="str">
        <x:v>Family, Fantasy, Adventure</x:v>
      </x:c>
      <x:c r="I229" s="6" t="str">
        <x:v>/vloNTScJ3w7jwNwtNGoG8DbTThv.jpg</x:v>
      </x:c>
      <x:c r="J229" s="7" t="str">
        <x:v>https://image.tmdb.org/t/p/w342/vloNTScJ3w7jwNwtNGoG8DbTThv.jpg</x:v>
      </x:c>
      <x:c r="K229" s="3" t="e">
        <x:f>IMAGE(J229)</x:f>
      </x:c>
      <x:c r="L229" s="8" t="n">
        <x:v>119</x:v>
      </x:c>
      <x:c r="M229" s="46" t="str">
        <x:v>Maleficent and her goddaughter Aurora begin to question the complex family ties that bind them as they are pulled in different directions by impending nuptials, unexpected allies, and dark new forces at play.</x:v>
      </x:c>
      <x:c r="N229" s="2" t="n">
        <x:v>43754</x:v>
      </x:c>
      <x:c r="O229" s="2" t="str">
        <x:v>Unwatched</x:v>
      </x:c>
      <x:c r="P229" s="9"/>
      <x:c r="Q229" s="6"/>
      <x:c r="R229" s="2" t="str">
        <x:v>https://www.themoviedb.org/movie/420809</x:v>
      </x:c>
      <x:c r="S229" s="10" t="str">
        <x:v>Matched</x:v>
      </x:c>
    </x:row>
    <x:row r="230" ht="90" customHeight="1">
      <x:c r="A230" s="2" t="str">
        <x:v>Malignant (2021)</x:v>
      </x:c>
      <x:c r="B230" s="2" t="str">
        <x:v>Malignant</x:v>
      </x:c>
      <x:c r="C230" s="3" t="n">
        <x:v>2021</x:v>
      </x:c>
      <x:c r="D230" s="2" t="str">
        <x:v>Blu-ray</x:v>
      </x:c>
      <x:c r="E230" s="4"/>
      <x:c r="F230" s="3" t="n">
        <x:v>619778</x:v>
      </x:c>
      <x:c r="G230" s="5" t="n">
        <x:v>6.7</x:v>
      </x:c>
      <x:c r="H230" s="2" t="str">
        <x:v>Horror, Mystery</x:v>
      </x:c>
      <x:c r="I230" s="6" t="str">
        <x:v>/dGv2BWjzwAz6LB8a8JeRIZL8hSz.jpg</x:v>
      </x:c>
      <x:c r="J230" s="7" t="str">
        <x:v>https://image.tmdb.org/t/p/w342/dGv2BWjzwAz6LB8a8JeRIZL8hSz.jpg</x:v>
      </x:c>
      <x:c r="K230" s="3" t="e">
        <x:f>IMAGE(J230)</x:f>
      </x:c>
      <x:c r="L230" s="8" t="n">
        <x:v>111</x:v>
      </x:c>
      <x:c r="M230" s="46" t="str">
        <x:v>Madison is paralyzed by shocking visions of grisly murders, and her torment worsens as she discovers that these waking dreams are in fact terrifying realities with a mysterious tie to her past.</x:v>
      </x:c>
      <x:c r="N230" s="2" t="n">
        <x:v>44440</x:v>
      </x:c>
      <x:c r="O230" s="2" t="str">
        <x:v>Unwatched</x:v>
      </x:c>
      <x:c r="P230" s="9"/>
      <x:c r="Q230" s="6"/>
      <x:c r="R230" s="2" t="str">
        <x:v>https://www.themoviedb.org/movie/619778</x:v>
      </x:c>
      <x:c r="S230" s="10" t="str">
        <x:v>Matched</x:v>
      </x:c>
    </x:row>
    <x:row r="231" ht="90" customHeight="1">
      <x:c r="A231" s="2" t="str">
        <x:v>Martyrs (2008)</x:v>
      </x:c>
      <x:c r="B231" s="2" t="str">
        <x:v>Martyrs</x:v>
      </x:c>
      <x:c r="C231" s="3" t="n">
        <x:v>2008</x:v>
      </x:c>
      <x:c r="D231" s="2" t="str">
        <x:v>Blu-ray</x:v>
      </x:c>
      <x:c r="E231" s="4"/>
      <x:c r="F231" s="3" t="n">
        <x:v>9539</x:v>
      </x:c>
      <x:c r="G231" s="5" t="n">
        <x:v>7.304</x:v>
      </x:c>
      <x:c r="H231" s="2" t="str">
        <x:v>Horror, Drama, Thriller</x:v>
      </x:c>
      <x:c r="I231" s="6" t="str">
        <x:v>/sT5ITTlTcnPOeFzHEu5j0hTZUvD.jpg</x:v>
      </x:c>
      <x:c r="J231" s="7" t="str">
        <x:v>https://image.tmdb.org/t/p/w342/sT5ITTlTcnPOeFzHEu5j0hTZUvD.jpg</x:v>
      </x:c>
      <x:c r="K231" s="3" t="e">
        <x:f>IMAGE(J231)</x:f>
      </x:c>
      <x:c r="L231" s="8" t="n">
        <x:v>99</x:v>
      </x:c>
      <x:c r="M231" s="46" t="str">
        <x:v>A young woman’s quest for revenge against the people who kidnapped and tortured her as a child leads her and her best friend, also a victim of child abuse, on a terrifying journey into a living hell of depravity.</x:v>
      </x:c>
      <x:c r="N231" s="2" t="n">
        <x:v>39611</x:v>
      </x:c>
      <x:c r="O231" s="2" t="str">
        <x:v>Unwatched</x:v>
      </x:c>
      <x:c r="P231" s="9"/>
      <x:c r="Q231" s="6"/>
      <x:c r="R231" s="2" t="str">
        <x:v>https://www.themoviedb.org/movie/9539</x:v>
      </x:c>
      <x:c r="S231" s="10" t="str">
        <x:v>Matched</x:v>
      </x:c>
    </x:row>
    <x:row r="232" ht="90" customHeight="1">
      <x:c r="A232" s="2" t="str">
        <x:v>The Matrix (1999)</x:v>
      </x:c>
      <x:c r="B232" s="2" t="str">
        <x:v>The Matrix</x:v>
      </x:c>
      <x:c r="C232" s="3" t="n">
        <x:v>1999</x:v>
      </x:c>
      <x:c r="D232" s="2" t="str">
        <x:v>Blu-ray</x:v>
      </x:c>
      <x:c r="E232" s="4"/>
      <x:c r="F232" s="3" t="n">
        <x:v>603</x:v>
      </x:c>
      <x:c r="G232" s="5" t="n">
        <x:v>8.246</x:v>
      </x:c>
      <x:c r="H232" s="2" t="str">
        <x:v>Action, Science Fiction</x:v>
      </x:c>
      <x:c r="I232" s="6" t="str">
        <x:v>/aOIuZAjPaRIE6CMzbazvcHuHXDc.jpg</x:v>
      </x:c>
      <x:c r="J232" s="7" t="str">
        <x:v>https://image.tmdb.org/t/p/w342/aOIuZAjPaRIE6CMzbazvcHuHXDc.jpg</x:v>
      </x:c>
      <x:c r="K232" s="3" t="e">
        <x:f>IMAGE(J232)</x:f>
      </x:c>
      <x:c r="L232" s="8" t="n">
        <x:v>136</x:v>
      </x:c>
      <x:c r="M232" s="46" t="str">
        <x:v>Set in the 22nd century, The Matrix tells the story of a computer hacker who joins a group of underground insurgents fighting the vast and powerful computers who now rule the earth.</x:v>
      </x:c>
      <x:c r="N232" s="2" t="n">
        <x:v>36250</x:v>
      </x:c>
      <x:c r="O232" s="2" t="str">
        <x:v>Unwatched</x:v>
      </x:c>
      <x:c r="P232" s="9"/>
      <x:c r="Q232" s="6"/>
      <x:c r="R232" s="2" t="str">
        <x:v>https://www.themoviedb.org/movie/603</x:v>
      </x:c>
      <x:c r="S232" s="10" t="str">
        <x:v>Matched</x:v>
      </x:c>
    </x:row>
    <x:row r="233" ht="90" customHeight="1">
      <x:c r="A233" s="2" t="str">
        <x:v>The Matrix Reloaded (2003)</x:v>
      </x:c>
      <x:c r="B233" s="2" t="str">
        <x:v>The Matrix Reloaded</x:v>
      </x:c>
      <x:c r="C233" s="3" t="n">
        <x:v>2003</x:v>
      </x:c>
      <x:c r="D233" s="2" t="str">
        <x:v>Blu-ray</x:v>
      </x:c>
      <x:c r="E233" s="4"/>
      <x:c r="F233" s="3" t="n">
        <x:v>604</x:v>
      </x:c>
      <x:c r="G233" s="5" t="n">
        <x:v>7.076</x:v>
      </x:c>
      <x:c r="H233" s="2" t="str">
        <x:v>Adventure, Action, Thriller, Science Fiction</x:v>
      </x:c>
      <x:c r="I233" s="6" t="str">
        <x:v>/aA5qHS0FbSXO8PxcxUIHbDrJyuh.jpg</x:v>
      </x:c>
      <x:c r="J233" s="7" t="str">
        <x:v>https://image.tmdb.org/t/p/w342/aA5qHS0FbSXO8PxcxUIHbDrJyuh.jpg</x:v>
      </x:c>
      <x:c r="K233" s="3" t="e">
        <x:f>IMAGE(J233)</x:f>
      </x:c>
      <x:c r="L233" s="8" t="n">
        <x:v>138</x:v>
      </x:c>
      <x:c r="M233" s="46" t="str">
        <x:v>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x:v>
      </x:c>
      <x:c r="N233" s="2" t="n">
        <x:v>37756</x:v>
      </x:c>
      <x:c r="O233" s="2" t="str">
        <x:v>Unwatched</x:v>
      </x:c>
      <x:c r="P233" s="9"/>
      <x:c r="Q233" s="6"/>
      <x:c r="R233" s="2" t="str">
        <x:v>https://www.themoviedb.org/movie/604</x:v>
      </x:c>
      <x:c r="S233" s="10" t="str">
        <x:v>Matched</x:v>
      </x:c>
    </x:row>
    <x:row r="234" ht="90" customHeight="1">
      <x:c r="A234" s="2" t="str">
        <x:v>The Matrix Resurrections (2021)</x:v>
      </x:c>
      <x:c r="B234" s="2" t="str">
        <x:v>The Matrix Resurrections</x:v>
      </x:c>
      <x:c r="C234" s="3" t="n">
        <x:v>2021</x:v>
      </x:c>
      <x:c r="D234" s="2" t="str">
        <x:v>Blu-ray</x:v>
      </x:c>
      <x:c r="E234" s="4"/>
      <x:c r="F234" s="3" t="n">
        <x:v>624860</x:v>
      </x:c>
      <x:c r="G234" s="5" t="n">
        <x:v>6.333</x:v>
      </x:c>
      <x:c r="H234" s="2" t="str">
        <x:v>Science Fiction, Action, Adventure</x:v>
      </x:c>
      <x:c r="I234" s="6" t="str">
        <x:v>/8c4a8kE7PizaGQQnditMmI1xbRp.jpg</x:v>
      </x:c>
      <x:c r="J234" s="7" t="str">
        <x:v>https://image.tmdb.org/t/p/w342/8c4a8kE7PizaGQQnditMmI1xbRp.jpg</x:v>
      </x:c>
      <x:c r="K234" s="3" t="e">
        <x:f>IMAGE(J234)</x:f>
      </x:c>
      <x:c r="L234" s="8" t="n">
        <x:v>148</x:v>
      </x:c>
      <x:c r="M234" s="46" t="str">
        <x:v>Plagued by strange memories, Neo's life takes an unexpected turn when he finds himself back inside the Matrix.</x:v>
      </x:c>
      <x:c r="N234" s="2" t="n">
        <x:v>44546</x:v>
      </x:c>
      <x:c r="O234" s="2" t="str">
        <x:v>Unwatched</x:v>
      </x:c>
      <x:c r="P234" s="9"/>
      <x:c r="Q234" s="6"/>
      <x:c r="R234" s="2" t="str">
        <x:v>https://www.themoviedb.org/movie/624860</x:v>
      </x:c>
      <x:c r="S234" s="10" t="str">
        <x:v>Matched</x:v>
      </x:c>
    </x:row>
    <x:row r="235" ht="90" customHeight="1">
      <x:c r="A235" s="2" t="str">
        <x:v>The Matrix Revolutions (2003)</x:v>
      </x:c>
      <x:c r="B235" s="2" t="str">
        <x:v>The Matrix Revolutions</x:v>
      </x:c>
      <x:c r="C235" s="3" t="n">
        <x:v>2003</x:v>
      </x:c>
      <x:c r="D235" s="2" t="str">
        <x:v>Blu-ray</x:v>
      </x:c>
      <x:c r="E235" s="4"/>
      <x:c r="F235" s="3" t="n">
        <x:v>605</x:v>
      </x:c>
      <x:c r="G235" s="5" t="n">
        <x:v>6.753</x:v>
      </x:c>
      <x:c r="H235" s="2" t="str">
        <x:v>Adventure, Action, Thriller, Science Fiction</x:v>
      </x:c>
      <x:c r="I235" s="6" t="str">
        <x:v>/bkkS61w94ZVMNVd8KEyyJl2tnY5.jpg</x:v>
      </x:c>
      <x:c r="J235" s="7" t="str">
        <x:v>https://image.tmdb.org/t/p/w342/bkkS61w94ZVMNVd8KEyyJl2tnY5.jpg</x:v>
      </x:c>
      <x:c r="K235" s="3" t="e">
        <x:f>IMAGE(J235)</x:f>
      </x:c>
      <x:c r="L235" s="8" t="n">
        <x:v>129</x:v>
      </x:c>
      <x:c r="M235" s="46" t="str">
        <x:v>The human city of Zion defends itself against the massive invasion of the machines as Neo fights to end the war at another front while also opposing the rogue Agent Smith.</x:v>
      </x:c>
      <x:c r="N235" s="2" t="n">
        <x:v>37930</x:v>
      </x:c>
      <x:c r="O235" s="2" t="str">
        <x:v>Unwatched</x:v>
      </x:c>
      <x:c r="P235" s="9"/>
      <x:c r="Q235" s="6"/>
      <x:c r="R235" s="2" t="str">
        <x:v>https://www.themoviedb.org/movie/605</x:v>
      </x:c>
      <x:c r="S235" s="10" t="str">
        <x:v>Matched</x:v>
      </x:c>
    </x:row>
    <x:row r="236" ht="90" customHeight="1">
      <x:c r="A236" s="2" t="str">
        <x:v>MaXXXine (2024)</x:v>
      </x:c>
      <x:c r="B236" s="2" t="str">
        <x:v>MaXXXine</x:v>
      </x:c>
      <x:c r="C236" s="3" t="n">
        <x:v>2024</x:v>
      </x:c>
      <x:c r="D236" s="2" t="str">
        <x:v>Blu-ray</x:v>
      </x:c>
      <x:c r="E236" s="4"/>
      <x:c r="F236" s="3" t="n">
        <x:v>1023922</x:v>
      </x:c>
      <x:c r="G236" s="5" t="n">
        <x:v>6.297</x:v>
      </x:c>
      <x:c r="H236" s="2" t="str">
        <x:v>Horror, Thriller</x:v>
      </x:c>
      <x:c r="I236" s="6" t="str">
        <x:v>/ArvoFK6nlouZRxYmtIOUzKIrg90.jpg</x:v>
      </x:c>
      <x:c r="J236" s="7" t="str">
        <x:v>https://image.tmdb.org/t/p/w342/ArvoFK6nlouZRxYmtIOUzKIrg90.jpg</x:v>
      </x:c>
      <x:c r="K236" s="3" t="e">
        <x:f>IMAGE(J236)</x:f>
      </x:c>
      <x:c r="L236" s="8" t="n">
        <x:v>103</x:v>
      </x:c>
      <x:c r="M236" s="46" t="str">
        <x:v>In 1980s Hollywood, adult film star and aspiring actress Maxine Minx finally gets her big break. But as a mysterious killer stalks the starlets of Hollywood, a trail of blood threatens to reveal her sinister past.</x:v>
      </x:c>
      <x:c r="N236" s="2" t="n">
        <x:v>45477</x:v>
      </x:c>
      <x:c r="O236" s="2" t="str">
        <x:v>Unwatched</x:v>
      </x:c>
      <x:c r="P236" s="9"/>
      <x:c r="Q236" s="6"/>
      <x:c r="R236" s="2" t="str">
        <x:v>https://www.themoviedb.org/movie/1023922</x:v>
      </x:c>
      <x:c r="S236" s="10" t="str">
        <x:v>Matched</x:v>
      </x:c>
    </x:row>
    <x:row r="237" ht="90" customHeight="1">
      <x:c r="A237" s="2" t="str">
        <x:v>Meet the Spartans (2008)</x:v>
      </x:c>
      <x:c r="B237" s="2" t="str">
        <x:v>Meet the Spartans</x:v>
      </x:c>
      <x:c r="C237" s="3" t="n">
        <x:v>2008</x:v>
      </x:c>
      <x:c r="D237" s="2" t="str">
        <x:v>Blu-ray</x:v>
      </x:c>
      <x:c r="E237" s="4"/>
      <x:c r="F237" s="3" t="n">
        <x:v>7278</x:v>
      </x:c>
      <x:c r="G237" s="5" t="n">
        <x:v>4.094</x:v>
      </x:c>
      <x:c r="H237" s="2" t="str">
        <x:v>Comedy, Fantasy</x:v>
      </x:c>
      <x:c r="I237" s="6" t="str">
        <x:v>/DWQOjAPvM8Kk1Qp3Xq0zae0Z6w.jpg</x:v>
      </x:c>
      <x:c r="J237" s="7" t="str">
        <x:v>https://image.tmdb.org/t/p/w342/DWQOjAPvM8Kk1Qp3Xq0zae0Z6w.jpg</x:v>
      </x:c>
      <x:c r="K237" s="3" t="e">
        <x:f>IMAGE(J237)</x:f>
      </x:c>
      <x:c r="L237" s="8" t="n">
        <x:v>84</x:v>
      </x:c>
      <x:c r="M237" s="46" t="str">
        <x:v>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x:v>
      </x:c>
      <x:c r="N237" s="2" t="n">
        <x:v>39471</x:v>
      </x:c>
      <x:c r="O237" s="2" t="str">
        <x:v>Unwatched</x:v>
      </x:c>
      <x:c r="P237" s="9"/>
      <x:c r="Q237" s="6"/>
      <x:c r="R237" s="2" t="str">
        <x:v>https://www.themoviedb.org/movie/7278</x:v>
      </x:c>
      <x:c r="S237" s="10" t="str">
        <x:v>Matched</x:v>
      </x:c>
    </x:row>
    <x:row r="238" ht="90" customHeight="1">
      <x:c r="A238" s="2" t="str">
        <x:v>Memories of Murder (2003)</x:v>
      </x:c>
      <x:c r="B238" s="2" t="str">
        <x:v>Memories of Murder</x:v>
      </x:c>
      <x:c r="C238" s="3" t="n">
        <x:v>2003</x:v>
      </x:c>
      <x:c r="D238" s="2" t="str">
        <x:v>Blu-ray</x:v>
      </x:c>
      <x:c r="E238" s="4"/>
      <x:c r="F238" s="3" t="n">
        <x:v>11423</x:v>
      </x:c>
      <x:c r="G238" s="5" t="n">
        <x:v>8.058</x:v>
      </x:c>
      <x:c r="H238" s="2" t="str">
        <x:v>Crime, Drama, Thriller</x:v>
      </x:c>
      <x:c r="I238" s="6" t="str">
        <x:v>/jcgUjx1QcupGzjntTVlnQ15lHqy.jpg</x:v>
      </x:c>
      <x:c r="J238" s="7" t="str">
        <x:v>https://image.tmdb.org/t/p/w342/jcgUjx1QcupGzjntTVlnQ15lHqy.jpg</x:v>
      </x:c>
      <x:c r="K238" s="3" t="e">
        <x:f>IMAGE(J238)</x:f>
      </x:c>
      <x:c r="L238" s="8" t="n">
        <x:v>131</x:v>
      </x:c>
      <x:c r="M238" s="46" t="str">
        <x:v>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x:v>
      </x:c>
      <x:c r="N238" s="2" t="n">
        <x:v>37736</x:v>
      </x:c>
      <x:c r="O238" s="2" t="str">
        <x:v>Unwatched</x:v>
      </x:c>
      <x:c r="P238" s="9"/>
      <x:c r="Q238" s="6"/>
      <x:c r="R238" s="2" t="str">
        <x:v>https://www.themoviedb.org/movie/11423</x:v>
      </x:c>
      <x:c r="S238" s="10" t="str">
        <x:v>Matched</x:v>
      </x:c>
    </x:row>
    <x:row r="239" ht="90" customHeight="1">
      <x:c r="A239" s="2" t="str">
        <x:v>The Midnight Meat Train (2008)</x:v>
      </x:c>
      <x:c r="B239" s="2" t="str">
        <x:v>The Midnight Meat Train</x:v>
      </x:c>
      <x:c r="C239" s="3" t="n">
        <x:v>2008</x:v>
      </x:c>
      <x:c r="D239" s="2" t="str">
        <x:v>Blu-ray</x:v>
      </x:c>
      <x:c r="E239" s="4"/>
      <x:c r="F239" s="3" t="n">
        <x:v>10185</x:v>
      </x:c>
      <x:c r="G239" s="5" t="n">
        <x:v>6.183</x:v>
      </x:c>
      <x:c r="H239" s="2" t="str">
        <x:v>Horror, Mystery, Fantasy</x:v>
      </x:c>
      <x:c r="I239" s="6" t="str">
        <x:v>/x5YbfyUA8huK0shr008xwzNVJ5Y.jpg</x:v>
      </x:c>
      <x:c r="J239" s="7" t="str">
        <x:v>https://image.tmdb.org/t/p/w342/x5YbfyUA8huK0shr008xwzNVJ5Y.jpg</x:v>
      </x:c>
      <x:c r="K239" s="3" t="e">
        <x:f>IMAGE(J239)</x:f>
      </x:c>
      <x:c r="L239" s="8" t="n">
        <x:v>103</x:v>
      </x:c>
      <x:c r="M239" s="46" t="str">
        <x:v>A photographer's obsessive pursuit of dark subject matter leads him into the path of a serial killer who stalks late night commuters, ultimately butchering them in the most gruesome ways.</x:v>
      </x:c>
      <x:c r="N239" s="2" t="n">
        <x:v>39667</x:v>
      </x:c>
      <x:c r="O239" s="2" t="str">
        <x:v>Unwatched</x:v>
      </x:c>
      <x:c r="P239" s="9"/>
      <x:c r="Q239" s="6"/>
      <x:c r="R239" s="2" t="str">
        <x:v>https://www.themoviedb.org/movie/10185</x:v>
      </x:c>
      <x:c r="S239" s="10" t="str">
        <x:v>Matched</x:v>
      </x:c>
    </x:row>
    <x:row r="240" ht="90" customHeight="1">
      <x:c r="A240" s="2" t="str">
        <x:v>Midnight Movie (2008)</x:v>
      </x:c>
      <x:c r="B240" s="2" t="str">
        <x:v>Midnight Movie</x:v>
      </x:c>
      <x:c r="C240" s="3" t="n">
        <x:v>2008</x:v>
      </x:c>
      <x:c r="D240" s="2" t="str">
        <x:v>Blu-ray</x:v>
      </x:c>
      <x:c r="E240" s="4"/>
      <x:c r="F240" s="3" t="n">
        <x:v>14686</x:v>
      </x:c>
      <x:c r="G240" s="5" t="n">
        <x:v>5</x:v>
      </x:c>
      <x:c r="H240" s="2" t="str">
        <x:v>Horror, Thriller, Fantasy</x:v>
      </x:c>
      <x:c r="I240" s="6" t="str">
        <x:v>/t04hiJUR5EiUjobsYdvQNgJkxbI.jpg</x:v>
      </x:c>
      <x:c r="J240" s="7" t="str">
        <x:v>https://image.tmdb.org/t/p/w342/t04hiJUR5EiUjobsYdvQNgJkxbI.jpg</x:v>
      </x:c>
      <x:c r="K240" s="3" t="e">
        <x:f>IMAGE(J240)</x:f>
      </x:c>
      <x:c r="L240" s="8" t="n">
        <x:v>82</x:v>
      </x:c>
      <x:c r="M240" s="46" t="str">
        <x:v>At a seedy theater in a sleepy suburban town, a group of friends get together for a midnight screening of an early 1970s horror film, unaware that the director has something more in store for them.</x:v>
      </x:c>
      <x:c r="N240" s="2" t="n">
        <x:v>39745</x:v>
      </x:c>
      <x:c r="O240" s="2" t="str">
        <x:v>Unwatched</x:v>
      </x:c>
      <x:c r="P240" s="9"/>
      <x:c r="Q240" s="6"/>
      <x:c r="R240" s="2" t="str">
        <x:v>https://www.themoviedb.org/movie/14686</x:v>
      </x:c>
      <x:c r="S240" s="10" t="str">
        <x:v>Matched</x:v>
      </x:c>
    </x:row>
    <x:row r="241" ht="90" customHeight="1">
      <x:c r="A241" s="2" t="str">
        <x:v>A Million Ways to Die in the West (2014)</x:v>
      </x:c>
      <x:c r="B241" s="2" t="str">
        <x:v>A Million Ways to Die in the West</x:v>
      </x:c>
      <x:c r="C241" s="3" t="n">
        <x:v>2014</x:v>
      </x:c>
      <x:c r="D241" s="2" t="str">
        <x:v>Blu-ray</x:v>
      </x:c>
      <x:c r="E241" s="4"/>
      <x:c r="F241" s="3" t="n">
        <x:v>188161</x:v>
      </x:c>
      <x:c r="G241" s="5" t="n">
        <x:v>6.1</x:v>
      </x:c>
      <x:c r="H241" s="2" t="str">
        <x:v>Comedy, Western</x:v>
      </x:c>
      <x:c r="I241" s="6" t="str">
        <x:v>/n9SicwnoNGWBwE75le27sUhCLMm.jpg</x:v>
      </x:c>
      <x:c r="J241" s="7" t="str">
        <x:v>https://image.tmdb.org/t/p/w342/n9SicwnoNGWBwE75le27sUhCLMm.jpg</x:v>
      </x:c>
      <x:c r="K241" s="3" t="e">
        <x:f>IMAGE(J241)</x:f>
      </x:c>
      <x:c r="L241" s="8" t="n">
        <x:v>116</x:v>
      </x:c>
      <x:c r="M241" s="46" t="str">
        <x:v>As a cowardly farmer begins to fall for the mysterious new woman in town, he must put his new-found courage to the test when her husband, a notorious gun-slinger, announces his arrival.</x:v>
      </x:c>
      <x:c r="N241" s="2" t="n">
        <x:v>41781</x:v>
      </x:c>
      <x:c r="O241" s="2" t="str">
        <x:v>Unwatched</x:v>
      </x:c>
      <x:c r="P241" s="9"/>
      <x:c r="Q241" s="6"/>
      <x:c r="R241" s="2" t="str">
        <x:v>https://www.themoviedb.org/movie/188161</x:v>
      </x:c>
      <x:c r="S241" s="10" t="str">
        <x:v>Matched</x:v>
      </x:c>
    </x:row>
    <x:row r="242" ht="90" customHeight="1">
      <x:c r="A242" s="2" t="str">
        <x:v>Mission: Impossible (1996)</x:v>
      </x:c>
      <x:c r="B242" s="2" t="str">
        <x:v>Mission: Impossible</x:v>
      </x:c>
      <x:c r="C242" s="3" t="n">
        <x:v>1996</x:v>
      </x:c>
      <x:c r="D242" s="2" t="str">
        <x:v>Blu-ray</x:v>
      </x:c>
      <x:c r="E242" s="4"/>
      <x:c r="F242" s="3" t="n">
        <x:v>954</x:v>
      </x:c>
      <x:c r="G242" s="5" t="n">
        <x:v>7.025</x:v>
      </x:c>
      <x:c r="H242" s="2" t="str">
        <x:v>Adventure, Action, Thriller</x:v>
      </x:c>
      <x:c r="I242" s="6" t="str">
        <x:v>/l5uxY5m5OInWpcExIpKG6AR3rgL.jpg</x:v>
      </x:c>
      <x:c r="J242" s="7" t="str">
        <x:v>https://image.tmdb.org/t/p/w342/l5uxY5m5OInWpcExIpKG6AR3rgL.jpg</x:v>
      </x:c>
      <x:c r="K242" s="3" t="e">
        <x:f>IMAGE(J242)</x:f>
      </x:c>
      <x:c r="L242" s="8" t="n">
        <x:v>111</x:v>
      </x:c>
      <x:c r="M242" s="46" t="str">
        <x:v>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x:v>
      </x:c>
      <x:c r="N242" s="2" t="n">
        <x:v>35207</x:v>
      </x:c>
      <x:c r="O242" s="2" t="str">
        <x:v>Unwatched</x:v>
      </x:c>
      <x:c r="P242" s="9"/>
      <x:c r="Q242" s="6"/>
      <x:c r="R242" s="2" t="str">
        <x:v>https://www.themoviedb.org/movie/954</x:v>
      </x:c>
      <x:c r="S242" s="10" t="str">
        <x:v>Matched</x:v>
      </x:c>
    </x:row>
    <x:row r="243" ht="90" customHeight="1">
      <x:c r="A243" s="2" t="str">
        <x:v>Mission: Impossible II (2000)</x:v>
      </x:c>
      <x:c r="B243" s="2" t="str">
        <x:v>Mission: Impossible II</x:v>
      </x:c>
      <x:c r="C243" s="3" t="n">
        <x:v>2000</x:v>
      </x:c>
      <x:c r="D243" s="2" t="str">
        <x:v>Blu-ray</x:v>
      </x:c>
      <x:c r="E243" s="4"/>
      <x:c r="F243" s="3" t="n">
        <x:v>955</x:v>
      </x:c>
      <x:c r="G243" s="5" t="n">
        <x:v>6.143</x:v>
      </x:c>
      <x:c r="H243" s="2" t="str">
        <x:v>Adventure, Action, Thriller</x:v>
      </x:c>
      <x:c r="I243" s="6" t="str">
        <x:v>/hfnrual76gPeNFduhD4xzHWpfTw.jpg</x:v>
      </x:c>
      <x:c r="J243" s="7" t="str">
        <x:v>https://image.tmdb.org/t/p/w342/hfnrual76gPeNFduhD4xzHWpfTw.jpg</x:v>
      </x:c>
      <x:c r="K243" s="3" t="e">
        <x:f>IMAGE(J243)</x:f>
      </x:c>
      <x:c r="L243" s="8" t="n">
        <x:v>123</x:v>
      </x:c>
      <x:c r="M243" s="46" t="str">
        <x: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x:v>
      </x:c>
      <x:c r="N243" s="2" t="n">
        <x:v>36670</x:v>
      </x:c>
      <x:c r="O243" s="2" t="str">
        <x:v>Unwatched</x:v>
      </x:c>
      <x:c r="P243" s="9"/>
      <x:c r="Q243" s="6"/>
      <x:c r="R243" s="2" t="str">
        <x:v>https://www.themoviedb.org/movie/955</x:v>
      </x:c>
      <x:c r="S243" s="10" t="str">
        <x:v>Matched</x:v>
      </x:c>
    </x:row>
    <x:row r="244" ht="90" customHeight="1">
      <x:c r="A244" s="2" t="str">
        <x:v>The Mist (2007)</x:v>
      </x:c>
      <x:c r="B244" s="2" t="str">
        <x:v>The Mist</x:v>
      </x:c>
      <x:c r="C244" s="3" t="n">
        <x:v>2007</x:v>
      </x:c>
      <x:c r="D244" s="2" t="str">
        <x:v>Blu-ray</x:v>
      </x:c>
      <x:c r="E244" s="4"/>
      <x:c r="F244" s="3" t="n">
        <x:v>5876</x:v>
      </x:c>
      <x:c r="G244" s="5" t="n">
        <x:v>6.944</x:v>
      </x:c>
      <x:c r="H244" s="2" t="str">
        <x:v>Horror, Science Fiction, Thriller</x:v>
      </x:c>
      <x:c r="I244" s="6" t="str">
        <x:v>/1CvJ6diBACKPVGOpcWuY4XPQdqX.jpg</x:v>
      </x:c>
      <x:c r="J244" s="7" t="str">
        <x:v>https://image.tmdb.org/t/p/w342/1CvJ6diBACKPVGOpcWuY4XPQdqX.jpg</x:v>
      </x:c>
      <x:c r="K244" s="3" t="e">
        <x:f>IMAGE(J244)</x:f>
      </x:c>
      <x:c r="L244" s="8" t="n">
        <x:v>126</x:v>
      </x:c>
      <x:c r="M244" s="46" t="str">
        <x:v>After a violent storm, a dense cloud of mist envelops a small Maine town, trapping David Drayton and his five-year-old son in a local grocery store with other local residents. They soon discover that the mist conceals deadly horrors that threaten their lives, and worse, their sanity.</x:v>
      </x:c>
      <x:c r="N244" s="2" t="n">
        <x:v>39407</x:v>
      </x:c>
      <x:c r="O244" s="2" t="str">
        <x:v>Unwatched</x:v>
      </x:c>
      <x:c r="P244" s="9"/>
      <x:c r="Q244" s="6"/>
      <x:c r="R244" s="2" t="str">
        <x:v>https://www.themoviedb.org/movie/5876</x:v>
      </x:c>
      <x:c r="S244" s="10" t="str">
        <x:v>Matched</x:v>
      </x:c>
    </x:row>
    <x:row r="245" ht="90" customHeight="1">
      <x:c r="A245" s="2" t="str">
        <x:v>Les Misérables (2012)</x:v>
      </x:c>
      <x:c r="B245" s="2" t="str">
        <x:v>Les Misérables</x:v>
      </x:c>
      <x:c r="C245" s="3" t="n">
        <x:v>2012</x:v>
      </x:c>
      <x:c r="D245" s="2" t="str">
        <x:v>Blu-ray</x:v>
      </x:c>
      <x:c r="E245" s="4"/>
      <x:c r="F245" s="3" t="n">
        <x:v>82695</x:v>
      </x:c>
      <x:c r="G245" s="5" t="n">
        <x:v>7.305</x:v>
      </x:c>
      <x:c r="H245" s="2" t="str">
        <x:v>History, Drama</x:v>
      </x:c>
      <x:c r="I245" s="6" t="str">
        <x:v>/6CuzBs2Lb8At7qQr64mLXg2RYRb.jpg</x:v>
      </x:c>
      <x:c r="J245" s="7" t="str">
        <x:v>https://image.tmdb.org/t/p/w342/6CuzBs2Lb8At7qQr64mLXg2RYRb.jpg</x:v>
      </x:c>
      <x:c r="K245" s="3" t="e">
        <x:f>IMAGE(J245)</x:f>
      </x:c>
      <x:c r="L245" s="8" t="n">
        <x:v>158</x:v>
      </x:c>
      <x:c r="M245" s="46" t="str">
        <x:v>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x:v>
      </x:c>
      <x:c r="N245" s="2" t="n">
        <x:v>41261</x:v>
      </x:c>
      <x:c r="O245" s="2" t="str">
        <x:v>Unwatched</x:v>
      </x:c>
      <x:c r="P245" s="9"/>
      <x:c r="Q245" s="6"/>
      <x:c r="R245" s="2" t="str">
        <x:v>https://www.themoviedb.org/movie/82695</x:v>
      </x:c>
      <x:c r="S245" s="10" t="str">
        <x:v>Matched</x:v>
      </x:c>
    </x:row>
    <x:row r="246" ht="90" customHeight="1">
      <x:c r="A246" s="2" t="str">
        <x:v>mother! (2017)</x:v>
      </x:c>
      <x:c r="B246" s="2" t="str">
        <x:v>mother!</x:v>
      </x:c>
      <x:c r="C246" s="3" t="n">
        <x:v>2017</x:v>
      </x:c>
      <x:c r="D246" s="2" t="str">
        <x:v>Blu-ray</x:v>
      </x:c>
      <x:c r="E246" s="4"/>
      <x:c r="F246" s="3" t="n">
        <x:v>381283</x:v>
      </x:c>
      <x:c r="G246" s="5" t="n">
        <x:v>6.96</x:v>
      </x:c>
      <x:c r="H246" s="2" t="str">
        <x:v>Horror, Drama</x:v>
      </x:c>
      <x:c r="I246" s="6" t="str">
        <x:v>/fjny9chXPx69ln1LMJxbwi5yHMt.jpg</x:v>
      </x:c>
      <x:c r="J246" s="7" t="str">
        <x:v>https://image.tmdb.org/t/p/w342/fjny9chXPx69ln1LMJxbwi5yHMt.jpg</x:v>
      </x:c>
      <x:c r="K246" s="3" t="e">
        <x:f>IMAGE(J246)</x:f>
      </x:c>
      <x:c r="L246" s="8" t="n">
        <x:v>121</x:v>
      </x:c>
      <x:c r="M246" s="46" t="str">
        <x:v>A couple's relationship is tested when uninvited guests arrive at their home, disrupting their tranquil existence.</x:v>
      </x:c>
      <x:c r="N246" s="2" t="n">
        <x:v>42991</x:v>
      </x:c>
      <x:c r="O246" s="2" t="str">
        <x:v>Unwatched</x:v>
      </x:c>
      <x:c r="P246" s="9"/>
      <x:c r="Q246" s="6"/>
      <x:c r="R246" s="2" t="str">
        <x:v>https://www.themoviedb.org/movie/381283</x:v>
      </x:c>
      <x:c r="S246" s="10" t="str">
        <x:v>Matched</x:v>
      </x:c>
    </x:row>
    <x:row r="247" ht="90" customHeight="1">
      <x:c r="A247" s="2" t="str">
        <x:v>Movie 43 (2013)</x:v>
      </x:c>
      <x:c r="B247" s="2" t="str">
        <x:v>Movie 43</x:v>
      </x:c>
      <x:c r="C247" s="3" t="n">
        <x:v>2013</x:v>
      </x:c>
      <x:c r="D247" s="2" t="str">
        <x:v>Blu-ray</x:v>
      </x:c>
      <x:c r="E247" s="4"/>
      <x:c r="F247" s="3" t="n">
        <x:v>87818</x:v>
      </x:c>
      <x:c r="G247" s="5" t="n">
        <x:v>4.655</x:v>
      </x:c>
      <x:c r="H247" s="2" t="str">
        <x:v>Comedy</x:v>
      </x:c>
      <x:c r="I247" s="6" t="str">
        <x:v>/uYa06GxHsCsELx9vOQ11vsT0Aa6.jpg</x:v>
      </x:c>
      <x:c r="J247" s="7" t="str">
        <x:v>https://image.tmdb.org/t/p/w342/uYa06GxHsCsELx9vOQ11vsT0Aa6.jpg</x:v>
      </x:c>
      <x:c r="K247" s="3" t="e">
        <x:f>IMAGE(J247)</x:f>
      </x:c>
      <x:c r="L247" s="8" t="n">
        <x:v>98</x:v>
      </x:c>
      <x:c r="M247" s="46" t="str">
        <x:v>A series of interconnected short films are the backdrop for a maniac screenwriter who pitches insane storylines featuring some of Hollywood's biggest and brightest.  In some countries, like the United Kingdom and the Netherlands, the structure differs. Instead of a pitch, the films are connected by a group of three teenagers searching for the most banned film in the world, Movie 43, which will ultimately lead to the destruction of civilization.</x:v>
      </x:c>
      <x:c r="N247" s="2" t="n">
        <x:v>41298</x:v>
      </x:c>
      <x:c r="O247" s="2" t="str">
        <x:v>Unwatched</x:v>
      </x:c>
      <x:c r="P247" s="9"/>
      <x:c r="Q247" s="6"/>
      <x:c r="R247" s="2" t="str">
        <x:v>https://www.themoviedb.org/movie/87818</x:v>
      </x:c>
      <x:c r="S247" s="10" t="str">
        <x:v>Matched</x:v>
      </x:c>
    </x:row>
    <x:row r="248" ht="90" customHeight="1">
      <x:c r="A248" s="2" t="str">
        <x:v>Mulholland Drive (2001)</x:v>
      </x:c>
      <x:c r="B248" s="2" t="str">
        <x:v>Mulholland Drive</x:v>
      </x:c>
      <x:c r="C248" s="3" t="n">
        <x:v>2001</x:v>
      </x:c>
      <x:c r="D248" s="2" t="str">
        <x:v>Blu-ray</x:v>
      </x:c>
      <x:c r="E248" s="4"/>
      <x:c r="F248" s="3" t="n">
        <x:v>1018</x:v>
      </x:c>
      <x:c r="G248" s="5" t="n">
        <x:v>7.803</x:v>
      </x:c>
      <x:c r="H248" s="2" t="str">
        <x:v>Thriller, Drama, Mystery</x:v>
      </x:c>
      <x:c r="I248" s="6" t="str">
        <x:v>/x7A59t6ySylr1L7aubOQEA480vM.jpg</x:v>
      </x:c>
      <x:c r="J248" s="7" t="str">
        <x:v>https://image.tmdb.org/t/p/w342/x7A59t6ySylr1L7aubOQEA480vM.jpg</x:v>
      </x:c>
      <x:c r="K248" s="3" t="e">
        <x:f>IMAGE(J248)</x:f>
      </x:c>
      <x:c r="L248" s="8" t="n">
        <x:v>147</x:v>
      </x:c>
      <x:c r="M248" s="46" t="str">
        <x:v>Blonde Betty Elms has only just arrived in Hollywood to become a movie star when she meets an enigmatic brunette with amnesia. Meanwhile, as the two set off to solve the second woman's identity, filmmaker Adam Kesher runs into ominous trouble while casting his latest project.</x:v>
      </x:c>
      <x:c r="N248" s="2" t="n">
        <x:v>37048</x:v>
      </x:c>
      <x:c r="O248" s="2" t="str">
        <x:v>Unwatched</x:v>
      </x:c>
      <x:c r="P248" s="9"/>
      <x:c r="Q248" s="6"/>
      <x:c r="R248" s="2" t="str">
        <x:v>https://www.themoviedb.org/movie/1018</x:v>
      </x:c>
      <x:c r="S248" s="10" t="str">
        <x:v>Matched</x:v>
      </x:c>
    </x:row>
    <x:row r="249" ht="90" customHeight="1">
      <x:c r="A249" s="2" t="str">
        <x:v>National Treasure (2004)</x:v>
      </x:c>
      <x:c r="B249" s="2" t="str">
        <x:v>National Treasure</x:v>
      </x:c>
      <x:c r="C249" s="3" t="n">
        <x:v>2004</x:v>
      </x:c>
      <x:c r="D249" s="2" t="str">
        <x:v>Blu-ray</x:v>
      </x:c>
      <x:c r="E249" s="4"/>
      <x:c r="F249" s="3" t="n">
        <x:v>2059</x:v>
      </x:c>
      <x:c r="G249" s="5" t="n">
        <x:v>6.7</x:v>
      </x:c>
      <x:c r="H249" s="2" t="str">
        <x:v>Adventure, Action, Thriller, Mystery</x:v>
      </x:c>
      <x:c r="I249" s="6" t="str">
        <x:v>/pxL6E4GBOPUG6CdkO9cUQN5VMwI.jpg</x:v>
      </x:c>
      <x:c r="J249" s="7" t="str">
        <x:v>https://image.tmdb.org/t/p/w342/pxL6E4GBOPUG6CdkO9cUQN5VMwI.jpg</x:v>
      </x:c>
      <x:c r="K249" s="3" t="e">
        <x:f>IMAGE(J249)</x:f>
      </x:c>
      <x:c r="L249" s="8" t="n">
        <x:v>131</x:v>
      </x:c>
      <x:c r="M249" s="46" t="str">
        <x: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x:v>
      </x:c>
      <x:c r="N249" s="2" t="n">
        <x:v>38310</x:v>
      </x:c>
      <x:c r="O249" s="2" t="str">
        <x:v>Unwatched</x:v>
      </x:c>
      <x:c r="P249" s="9"/>
      <x:c r="Q249" s="6"/>
      <x:c r="R249" s="2" t="str">
        <x:v>https://www.themoviedb.org/movie/2059</x:v>
      </x:c>
      <x:c r="S249" s="10" t="str">
        <x:v>Matched</x:v>
      </x:c>
    </x:row>
    <x:row r="250" ht="90" customHeight="1">
      <x:c r="A250" s="2" t="str">
        <x:v>Natural Born Killers (1994)</x:v>
      </x:c>
      <x:c r="B250" s="2" t="str">
        <x:v>Natural Born Killers</x:v>
      </x:c>
      <x:c r="C250" s="3" t="n">
        <x:v>1994</x:v>
      </x:c>
      <x:c r="D250" s="2" t="str">
        <x:v>Blu-ray</x:v>
      </x:c>
      <x:c r="E250" s="4"/>
      <x:c r="F250" s="3" t="n">
        <x:v>241</x:v>
      </x:c>
      <x:c r="G250" s="5" t="n">
        <x:v>7.053</x:v>
      </x:c>
      <x:c r="H250" s="2" t="str">
        <x:v>Crime, Thriller, Drama</x:v>
      </x:c>
      <x:c r="I250" s="6" t="str">
        <x:v>/fEKZwT91gxvkAoyPgpNXo8W5fu0.jpg</x:v>
      </x:c>
      <x:c r="J250" s="7" t="str">
        <x:v>https://image.tmdb.org/t/p/w342/fEKZwT91gxvkAoyPgpNXo8W5fu0.jpg</x:v>
      </x:c>
      <x:c r="K250" s="3" t="e">
        <x:f>IMAGE(J250)</x:f>
      </x:c>
      <x:c r="L250" s="8" t="n">
        <x:v>119</x:v>
      </x:c>
      <x:c r="M250" s="46" t="str">
        <x:v>Two victims of traumatized childhoods become lovers and serial murderers irresponsibly glorified by the mass media.</x:v>
      </x:c>
      <x:c r="N250" s="2" t="n">
        <x:v>34572</x:v>
      </x:c>
      <x:c r="O250" s="2" t="str">
        <x:v>Unwatched</x:v>
      </x:c>
      <x:c r="P250" s="9"/>
      <x:c r="Q250" s="6"/>
      <x:c r="R250" s="2" t="str">
        <x:v>https://www.themoviedb.org/movie/241</x:v>
      </x:c>
      <x:c r="S250" s="10" t="str">
        <x:v>Matched</x:v>
      </x:c>
    </x:row>
    <x:row r="251" ht="90" customHeight="1">
      <x:c r="A251" s="2" t="str">
        <x:v>Neighbors (2014)</x:v>
      </x:c>
      <x:c r="B251" s="2" t="str">
        <x:v>Neighbors</x:v>
      </x:c>
      <x:c r="C251" s="3" t="n">
        <x:v>2014</x:v>
      </x:c>
      <x:c r="D251" s="2" t="str">
        <x:v>Blu-ray</x:v>
      </x:c>
      <x:c r="E251" s="4"/>
      <x:c r="F251" s="3" t="n">
        <x:v>195589</x:v>
      </x:c>
      <x:c r="G251" s="5" t="n">
        <x:v>6.182</x:v>
      </x:c>
      <x:c r="H251" s="2" t="str">
        <x:v>Comedy</x:v>
      </x:c>
      <x:c r="I251" s="6" t="str">
        <x:v>/sN1RU08CMi8xkRIibremh3AOdgw.jpg</x:v>
      </x:c>
      <x:c r="J251" s="7" t="str">
        <x:v>https://image.tmdb.org/t/p/w342/sN1RU08CMi8xkRIibremh3AOdgw.jpg</x:v>
      </x:c>
      <x:c r="K251" s="3" t="e">
        <x:f>IMAGE(J251)</x:f>
      </x:c>
      <x:c r="L251" s="8" t="n">
        <x:v>97</x:v>
      </x:c>
      <x:c r="M251" s="46" t="str">
        <x:v>A couple with a newborn baby face unexpected difficulties after they are forced to live next to a fraternity house.</x:v>
      </x:c>
      <x:c r="N251" s="2" t="n">
        <x:v>41767</x:v>
      </x:c>
      <x:c r="O251" s="2" t="str">
        <x:v>Unwatched</x:v>
      </x:c>
      <x:c r="P251" s="9"/>
      <x:c r="Q251" s="6"/>
      <x:c r="R251" s="2" t="str">
        <x:v>https://www.themoviedb.org/movie/195589</x:v>
      </x:c>
      <x:c r="S251" s="10" t="str">
        <x:v>Matched</x:v>
      </x:c>
    </x:row>
    <x:row r="252" ht="90" customHeight="1">
      <x:c r="A252" s="2" t="str">
        <x:v>Nightcrawler (2014)</x:v>
      </x:c>
      <x:c r="B252" s="2" t="str">
        <x:v>Nightcrawler</x:v>
      </x:c>
      <x:c r="C252" s="3" t="n">
        <x:v>2014</x:v>
      </x:c>
      <x:c r="D252" s="2" t="str">
        <x:v>Blu-ray</x:v>
      </x:c>
      <x:c r="E252" s="4"/>
      <x:c r="F252" s="3" t="n">
        <x:v>242582</x:v>
      </x:c>
      <x:c r="G252" s="5" t="n">
        <x:v>7.7</x:v>
      </x:c>
      <x:c r="H252" s="2" t="str">
        <x:v>Crime, Drama, Thriller</x:v>
      </x:c>
      <x:c r="I252" s="6" t="str">
        <x:v>/j9HrX8f7GbZQm1BrBiR40uFQZSb.jpg</x:v>
      </x:c>
      <x:c r="J252" s="7" t="str">
        <x:v>https://image.tmdb.org/t/p/w342/j9HrX8f7GbZQm1BrBiR40uFQZSb.jpg</x:v>
      </x:c>
      <x:c r="K252" s="3" t="e">
        <x:f>IMAGE(J252)</x:f>
      </x:c>
      <x:c r="L252" s="8" t="n">
        <x:v>118</x:v>
      </x:c>
      <x:c r="M252" s="46" t="str">
        <x:v>When Lou Bloom, desperate for work, muscles into the world of L.A. crime journalism, he blurs the line between observer and participant to become the star of his own story. Aiding him in his effort is Nina, a TV-news veteran.</x:v>
      </x:c>
      <x:c r="N252" s="2" t="n">
        <x:v>41935</x:v>
      </x:c>
      <x:c r="O252" s="2" t="str">
        <x:v>Unwatched</x:v>
      </x:c>
      <x:c r="P252" s="9"/>
      <x:c r="Q252" s="6"/>
      <x:c r="R252" s="2" t="str">
        <x:v>https://www.themoviedb.org/movie/242582</x:v>
      </x:c>
      <x:c r="S252" s="10" t="str">
        <x:v>Matched</x:v>
      </x:c>
    </x:row>
    <x:row r="253" ht="90" customHeight="1">
      <x:c r="A253" s="2" t="str">
        <x:v>A Nightmare on Elm Street (2010)</x:v>
      </x:c>
      <x:c r="B253" s="2" t="str">
        <x:v>A Nightmare on Elm Street</x:v>
      </x:c>
      <x:c r="C253" s="3" t="n">
        <x:v>2010</x:v>
      </x:c>
      <x:c r="D253" s="2" t="str">
        <x:v>Blu-ray</x:v>
      </x:c>
      <x:c r="E253" s="4"/>
      <x:c r="F253" s="3" t="n">
        <x:v>23437</x:v>
      </x:c>
      <x:c r="G253" s="5" t="n">
        <x:v>5.523</x:v>
      </x:c>
      <x:c r="H253" s="2" t="str">
        <x:v>Horror, Mystery, Thriller</x:v>
      </x:c>
      <x:c r="I253" s="6" t="str">
        <x:v>/nsmW28GcNabCUZfP5YtUEe8Li0f.jpg</x:v>
      </x:c>
      <x:c r="J253" s="7" t="str">
        <x:v>https://image.tmdb.org/t/p/w342/nsmW28GcNabCUZfP5YtUEe8Li0f.jpg</x:v>
      </x:c>
      <x:c r="K253" s="3" t="e">
        <x:f>IMAGE(J253)</x:f>
      </x:c>
      <x:c r="L253" s="8" t="n">
        <x:v>95</x:v>
      </x:c>
      <x:c r="M253" s="46" t="str">
        <x:v>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x:v>
      </x:c>
      <x:c r="N253" s="2" t="n">
        <x:v>40298</x:v>
      </x:c>
      <x:c r="O253" s="2" t="str">
        <x:v>Unwatched</x:v>
      </x:c>
      <x:c r="P253" s="9"/>
      <x:c r="Q253" s="6"/>
      <x:c r="R253" s="2" t="str">
        <x:v>https://www.themoviedb.org/movie/23437</x:v>
      </x:c>
      <x:c r="S253" s="10" t="str">
        <x:v>Matched</x:v>
      </x:c>
    </x:row>
    <x:row r="254" ht="90" customHeight="1">
      <x:c r="A254" s="2" t="str">
        <x:v>A Nightmare on Elm Street (1984)</x:v>
      </x:c>
      <x:c r="B254" s="2" t="str">
        <x:v>A Nightmare on Elm Street</x:v>
      </x:c>
      <x:c r="C254" s="3" t="n">
        <x:v>1984</x:v>
      </x:c>
      <x:c r="D254" s="2" t="str">
        <x:v>Blu-ray</x:v>
      </x:c>
      <x:c r="E254" s="4"/>
      <x:c r="F254" s="3" t="n">
        <x:v>377</x:v>
      </x:c>
      <x:c r="G254" s="5" t="n">
        <x:v>7.345</x:v>
      </x:c>
      <x:c r="H254" s="2" t="str">
        <x:v>Horror</x:v>
      </x:c>
      <x:c r="I254" s="6" t="str">
        <x:v>/wGTpGGRMZmyFCcrY2YoxVTIBlli.jpg</x:v>
      </x:c>
      <x:c r="J254" s="7" t="str">
        <x:v>https://image.tmdb.org/t/p/w342/wGTpGGRMZmyFCcrY2YoxVTIBlli.jpg</x:v>
      </x:c>
      <x:c r="K254" s="3" t="e">
        <x:f>IMAGE(J254)</x:f>
      </x:c>
      <x:c r="L254" s="8" t="n">
        <x:v>91</x:v>
      </x:c>
      <x:c r="M254" s="46" t="str">
        <x: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x:v>
      </x:c>
      <x:c r="N254" s="2" t="n">
        <x:v>30995</x:v>
      </x:c>
      <x:c r="O254" s="2" t="str">
        <x:v>Unwatched</x:v>
      </x:c>
      <x:c r="P254" s="9"/>
      <x:c r="Q254" s="6"/>
      <x:c r="R254" s="2" t="str">
        <x:v>https://www.themoviedb.org/movie/377</x:v>
      </x:c>
      <x:c r="S254" s="10" t="str">
        <x:v>Matched</x:v>
      </x:c>
    </x:row>
    <x:row r="255" ht="90" customHeight="1">
      <x:c r="A255" s="2" t="str">
        <x:v>A Nightmare on Elm Street 2: Freddy's Revenge (1985)</x:v>
      </x:c>
      <x:c r="B255" s="2" t="str">
        <x:v>A Nightmare on Elm Street 2: Freddy's Revenge</x:v>
      </x:c>
      <x:c r="C255" s="3" t="n">
        <x:v>1985</x:v>
      </x:c>
      <x:c r="D255" s="2" t="str">
        <x:v>Blu-ray</x:v>
      </x:c>
      <x:c r="E255" s="4"/>
      <x:c r="F255" s="3" t="n">
        <x:v>10014</x:v>
      </x:c>
      <x:c r="G255" s="5" t="n">
        <x:v>5.775</x:v>
      </x:c>
      <x:c r="H255" s="2" t="str">
        <x:v>Horror</x:v>
      </x:c>
      <x:c r="I255" s="6" t="str">
        <x:v>/53kxYw0G3o55yJ23K7s7KMaOyAM.jpg</x:v>
      </x:c>
      <x:c r="J255" s="7" t="str">
        <x:v>https://image.tmdb.org/t/p/w342/53kxYw0G3o55yJ23K7s7KMaOyAM.jpg</x:v>
      </x:c>
      <x:c r="K255" s="3" t="e">
        <x:f>IMAGE(J255)</x:f>
      </x:c>
      <x:c r="L255" s="8" t="n">
        <x:v>87</x:v>
      </x:c>
      <x:c r="M255" s="46" t="str">
        <x:v>A teenage boy is haunted in his dreams by deceased child murderer Freddy Krueger, who is out to possess him in order to continue his reign of terror in the real world.</x:v>
      </x:c>
      <x:c r="N255" s="2" t="n">
        <x:v>31352</x:v>
      </x:c>
      <x:c r="O255" s="2" t="str">
        <x:v>Unwatched</x:v>
      </x:c>
      <x:c r="P255" s="9"/>
      <x:c r="Q255" s="6"/>
      <x:c r="R255" s="2" t="str">
        <x:v>https://www.themoviedb.org/movie/10014</x:v>
      </x:c>
      <x:c r="S255" s="10" t="str">
        <x:v>Matched</x:v>
      </x:c>
    </x:row>
    <x:row r="256" ht="90" customHeight="1">
      <x:c r="A256" s="2" t="str">
        <x:v>A Nightmare on Elm Street 3: Dream Warriors (1987)</x:v>
      </x:c>
      <x:c r="B256" s="2" t="str">
        <x:v>A Nightmare on Elm Street 3: Dream Warriors</x:v>
      </x:c>
      <x:c r="C256" s="3" t="n">
        <x:v>1987</x:v>
      </x:c>
      <x:c r="D256" s="2" t="str">
        <x:v>Blu-ray</x:v>
      </x:c>
      <x:c r="E256" s="4"/>
      <x:c r="F256" s="3" t="n">
        <x:v>10072</x:v>
      </x:c>
      <x:c r="G256" s="5" t="n">
        <x:v>6.71</x:v>
      </x:c>
      <x:c r="H256" s="2" t="str">
        <x:v>Horror, Thriller, Fantasy</x:v>
      </x:c>
      <x:c r="I256" s="6" t="str">
        <x:v>/qbtZewU6EGvxi8yFVzwZ31NijLX.jpg</x:v>
      </x:c>
      <x:c r="J256" s="7" t="str">
        <x:v>https://image.tmdb.org/t/p/w342/qbtZewU6EGvxi8yFVzwZ31NijLX.jpg</x:v>
      </x:c>
      <x:c r="K256" s="3" t="e">
        <x:f>IMAGE(J256)</x:f>
      </x:c>
      <x:c r="L256" s="8" t="n">
        <x:v>96</x:v>
      </x:c>
      <x:c r="M256" s="46" t="str">
        <x:v>A psychiatrist, familiar with the knife-wielding dream demon Freddy Krueger, helps teens at a mental hospital battle the killer who is invading their dreams.</x:v>
      </x:c>
      <x:c r="N256" s="2" t="n">
        <x:v>31835</x:v>
      </x:c>
      <x:c r="O256" s="2" t="str">
        <x:v>Unwatched</x:v>
      </x:c>
      <x:c r="P256" s="9"/>
      <x:c r="Q256" s="6"/>
      <x:c r="R256" s="2" t="str">
        <x:v>https://www.themoviedb.org/movie/10072</x:v>
      </x:c>
      <x:c r="S256" s="10" t="str">
        <x:v>Matched</x:v>
      </x:c>
    </x:row>
    <x:row r="257" ht="90" customHeight="1">
      <x:c r="A257" s="2" t="str">
        <x:v>A Nightmare on Elm Street 4: The Dream Master (1988)</x:v>
      </x:c>
      <x:c r="B257" s="2" t="str">
        <x:v>A Nightmare on Elm Street 4: The Dream Master</x:v>
      </x:c>
      <x:c r="C257" s="3" t="n">
        <x:v>1988</x:v>
      </x:c>
      <x:c r="D257" s="2" t="str">
        <x:v>Blu-ray</x:v>
      </x:c>
      <x:c r="E257" s="4"/>
      <x:c r="F257" s="3" t="n">
        <x:v>10131</x:v>
      </x:c>
      <x:c r="G257" s="5" t="n">
        <x:v>5.864</x:v>
      </x:c>
      <x:c r="H257" s="2" t="str">
        <x:v>Horror, Thriller</x:v>
      </x:c>
      <x:c r="I257" s="6" t="str">
        <x:v>/boStYG7jKdoIZTduiOOsUVknD13.jpg</x:v>
      </x:c>
      <x:c r="J257" s="7" t="str">
        <x:v>https://image.tmdb.org/t/p/w342/boStYG7jKdoIZTduiOOsUVknD13.jpg</x:v>
      </x:c>
      <x:c r="K257" s="3" t="e">
        <x:f>IMAGE(J257)</x:f>
      </x:c>
      <x:c r="L257" s="8" t="n">
        <x:v>93</x:v>
      </x:c>
      <x:c r="M257" s="46" t="str">
        <x:v>Freddy Krueger returns once again to terrorize the dreams of the remaining Dream Warriors, as well as those of a young woman who may be able to defeat him for good.</x:v>
      </x:c>
      <x:c r="N257" s="2" t="n">
        <x:v>32374</x:v>
      </x:c>
      <x:c r="O257" s="2" t="str">
        <x:v>Unwatched</x:v>
      </x:c>
      <x:c r="P257" s="9"/>
      <x:c r="Q257" s="6"/>
      <x:c r="R257" s="2" t="str">
        <x:v>https://www.themoviedb.org/movie/10131</x:v>
      </x:c>
      <x:c r="S257" s="10" t="str">
        <x:v>Matched</x:v>
      </x:c>
    </x:row>
    <x:row r="258" ht="90" customHeight="1">
      <x:c r="A258" s="2" t="str">
        <x:v>A Nightmare on Elm Street 5: The Dream Child (1989)</x:v>
      </x:c>
      <x:c r="B258" s="2" t="str">
        <x:v>A Nightmare on Elm Street 5: The Dream Child</x:v>
      </x:c>
      <x:c r="C258" s="3" t="n">
        <x:v>1989</x:v>
      </x:c>
      <x:c r="D258" s="2" t="str">
        <x:v>Blu-ray</x:v>
      </x:c>
      <x:c r="E258" s="4"/>
      <x:c r="F258" s="3" t="n">
        <x:v>10160</x:v>
      </x:c>
      <x:c r="G258" s="5" t="n">
        <x:v>5.41</x:v>
      </x:c>
      <x:c r="H258" s="2" t="str">
        <x:v>Horror, Thriller</x:v>
      </x:c>
      <x:c r="I258" s="6" t="str">
        <x:v>/kizvpgXQfrAgN8FhOd87LbKk6kO.jpg</x:v>
      </x:c>
      <x:c r="J258" s="7" t="str">
        <x:v>https://image.tmdb.org/t/p/w342/kizvpgXQfrAgN8FhOd87LbKk6kO.jpg</x:v>
      </x:c>
      <x:c r="K258" s="3" t="e">
        <x:f>IMAGE(J258)</x:f>
      </x:c>
      <x:c r="L258" s="8" t="n">
        <x:v>89</x:v>
      </x:c>
      <x:c r="M258" s="46" t="str">
        <x:v>The pregnant Alice finds Freddy Krueger striking through the sleeping mind of her unborn child, hoping to be reborn into the real world.</x:v>
      </x:c>
      <x:c r="N258" s="2" t="n">
        <x:v>32731</x:v>
      </x:c>
      <x:c r="O258" s="2" t="str">
        <x:v>Unwatched</x:v>
      </x:c>
      <x:c r="P258" s="9"/>
      <x:c r="Q258" s="6"/>
      <x:c r="R258" s="2" t="str">
        <x:v>https://www.themoviedb.org/movie/10160</x:v>
      </x:c>
      <x:c r="S258" s="10" t="str">
        <x:v>Matched</x:v>
      </x:c>
    </x:row>
    <x:row r="259" ht="90" customHeight="1">
      <x:c r="A259" s="2" t="str">
        <x:v>No Country for Old Men (2007)</x:v>
      </x:c>
      <x:c r="B259" s="2" t="str">
        <x:v>No Country for Old Men</x:v>
      </x:c>
      <x:c r="C259" s="3" t="n">
        <x:v>2007</x:v>
      </x:c>
      <x:c r="D259" s="2" t="str">
        <x:v>Blu-ray</x:v>
      </x:c>
      <x:c r="E259" s="4"/>
      <x:c r="F259" s="3" t="n">
        <x:v>6977</x:v>
      </x:c>
      <x:c r="G259" s="5" t="n">
        <x:v>8</x:v>
      </x:c>
      <x:c r="H259" s="2" t="str">
        <x:v>Crime, Thriller, Western</x:v>
      </x:c>
      <x:c r="I259" s="6" t="str">
        <x:v>/6d5XOczc226jECq0LIX0siKtgHR.jpg</x:v>
      </x:c>
      <x:c r="J259" s="7" t="str">
        <x:v>https://image.tmdb.org/t/p/w342/6d5XOczc226jECq0LIX0siKtgHR.jpg</x:v>
      </x:c>
      <x:c r="K259" s="3" t="e">
        <x:f>IMAGE(J259)</x:f>
      </x:c>
      <x:c r="L259" s="8" t="n">
        <x:v>122</x:v>
      </x:c>
      <x:c r="M259" s="46" t="str">
        <x: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x:v>
      </x:c>
      <x:c r="N259" s="2" t="n">
        <x:v>39395</x:v>
      </x:c>
      <x:c r="O259" s="2" t="str">
        <x:v>Unwatched</x:v>
      </x:c>
      <x:c r="P259" s="9"/>
      <x:c r="Q259" s="6"/>
      <x:c r="R259" s="2" t="str">
        <x:v>https://www.themoviedb.org/movie/6977</x:v>
      </x:c>
      <x:c r="S259" s="10" t="str">
        <x:v>Matched</x:v>
      </x:c>
    </x:row>
    <x:row r="260" ht="90" customHeight="1">
      <x:c r="A260" s="2" t="str">
        <x:v>No Strings Attached (2011)</x:v>
      </x:c>
      <x:c r="B260" s="2" t="str">
        <x:v>No Strings Attached</x:v>
      </x:c>
      <x:c r="C260" s="3" t="n">
        <x:v>2011</x:v>
      </x:c>
      <x:c r="D260" s="2" t="str">
        <x:v>Blu-ray</x:v>
      </x:c>
      <x:c r="E260" s="4"/>
      <x:c r="F260" s="3" t="n">
        <x:v>41630</x:v>
      </x:c>
      <x:c r="G260" s="5" t="n">
        <x:v>6.297</x:v>
      </x:c>
      <x:c r="H260" s="2" t="str">
        <x:v>Comedy, Romance</x:v>
      </x:c>
      <x:c r="I260" s="6" t="str">
        <x:v>/9C09L1U9S13J4Ut029Qhu0oLcTQ.jpg</x:v>
      </x:c>
      <x:c r="J260" s="7" t="str">
        <x:v>https://image.tmdb.org/t/p/w342/9C09L1U9S13J4Ut029Qhu0oLcTQ.jpg</x:v>
      </x:c>
      <x:c r="K260" s="3" t="e">
        <x:f>IMAGE(J260)</x:f>
      </x:c>
      <x:c r="L260" s="8" t="n">
        <x:v>107</x:v>
      </x:c>
      <x:c r="M260" s="46" t="str">
        <x:v>Emma is a busy doctor who sets up a seemingly perfect arrangement when she offers her best friend Adam a relationship with one rule: No strings attached. But when a fling becomes a thing, can sex friends stay best friends?</x:v>
      </x:c>
      <x:c r="N260" s="2" t="n">
        <x:v>40564</x:v>
      </x:c>
      <x:c r="O260" s="2" t="str">
        <x:v>Unwatched</x:v>
      </x:c>
      <x:c r="P260" s="9"/>
      <x:c r="Q260" s="6"/>
      <x:c r="R260" s="2" t="str">
        <x:v>https://www.themoviedb.org/movie/41630</x:v>
      </x:c>
      <x:c r="S260" s="10" t="str">
        <x:v>Matched</x:v>
      </x:c>
    </x:row>
    <x:row r="261" ht="90" customHeight="1">
      <x:c r="A261" s="2" t="str">
        <x:v>Nope (2022)</x:v>
      </x:c>
      <x:c r="B261" s="2" t="str">
        <x:v>Nope</x:v>
      </x:c>
      <x:c r="C261" s="3" t="n">
        <x:v>2022</x:v>
      </x:c>
      <x:c r="D261" s="2" t="str">
        <x:v>Blu-ray</x:v>
      </x:c>
      <x:c r="E261" s="4"/>
      <x:c r="F261" s="3" t="n">
        <x:v>762504</x:v>
      </x:c>
      <x:c r="G261" s="5" t="n">
        <x:v>6.8</x:v>
      </x:c>
      <x:c r="H261" s="2" t="str">
        <x:v>Horror, Science Fiction</x:v>
      </x:c>
      <x:c r="I261" s="6" t="str">
        <x:v>/AcKVlWaNVVVFQwro3nLXqPljcYA.jpg</x:v>
      </x:c>
      <x:c r="J261" s="7" t="str">
        <x:v>https://image.tmdb.org/t/p/w342/AcKVlWaNVVVFQwro3nLXqPljcYA.jpg</x:v>
      </x:c>
      <x:c r="K261" s="3" t="e">
        <x:f>IMAGE(J261)</x:f>
      </x:c>
      <x:c r="L261" s="8" t="n">
        <x:v>130</x:v>
      </x:c>
      <x:c r="M261" s="46" t="str">
        <x:v>Residents in a lonely gulch of inland California bear witness to an uncanny, chilling discovery.</x:v>
      </x:c>
      <x:c r="N261" s="2" t="n">
        <x:v>44762</x:v>
      </x:c>
      <x:c r="O261" s="2" t="str">
        <x:v>Unwatched</x:v>
      </x:c>
      <x:c r="P261" s="9"/>
      <x:c r="Q261" s="6"/>
      <x:c r="R261" s="2" t="str">
        <x:v>https://www.themoviedb.org/movie/762504</x:v>
      </x:c>
      <x:c r="S261" s="10" t="str">
        <x:v>Matched</x:v>
      </x:c>
    </x:row>
    <x:row r="262" ht="90" customHeight="1">
      <x:c r="A262" s="2" t="str">
        <x:v>Now You See Me (2013)</x:v>
      </x:c>
      <x:c r="B262" s="2" t="str">
        <x:v>Now You See Me</x:v>
      </x:c>
      <x:c r="C262" s="3" t="n">
        <x:v>2013</x:v>
      </x:c>
      <x:c r="D262" s="2" t="str">
        <x:v>Blu-ray</x:v>
      </x:c>
      <x:c r="E262" s="4"/>
      <x:c r="F262" s="3" t="n">
        <x:v>75656</x:v>
      </x:c>
      <x:c r="G262" s="5" t="n">
        <x:v>7.331</x:v>
      </x:c>
      <x:c r="H262" s="2" t="str">
        <x:v>Thriller, Crime</x:v>
      </x:c>
      <x:c r="I262" s="6" t="str">
        <x:v>/tWsNYbrqy1p1w6K9zRk0mSchztT.jpg</x:v>
      </x:c>
      <x:c r="J262" s="7" t="str">
        <x:v>https://image.tmdb.org/t/p/w342/tWsNYbrqy1p1w6K9zRk0mSchztT.jpg</x:v>
      </x:c>
      <x:c r="K262" s="3" t="e">
        <x:f>IMAGE(J262)</x:f>
      </x:c>
      <x:c r="L262" s="8" t="n">
        <x:v>116</x:v>
      </x:c>
      <x:c r="M262" s="46" t="str">
        <x:v>An FBI agent and an Interpol detective track a team of illusionists who pull off bank heists during their performances and reward their audiences with the money.</x:v>
      </x:c>
      <x:c r="N262" s="2" t="n">
        <x:v>41423</x:v>
      </x:c>
      <x:c r="O262" s="2" t="str">
        <x:v>Unwatched</x:v>
      </x:c>
      <x:c r="P262" s="9"/>
      <x:c r="Q262" s="6"/>
      <x:c r="R262" s="2" t="str">
        <x:v>https://www.themoviedb.org/movie/75656</x:v>
      </x:c>
      <x:c r="S262" s="10" t="str">
        <x:v>Matched</x:v>
      </x:c>
    </x:row>
    <x:row r="263" ht="90" customHeight="1">
      <x:c r="A263" s="2" t="str">
        <x:v>The Nun (2018)</x:v>
      </x:c>
      <x:c r="B263" s="2" t="str">
        <x:v>The Nun</x:v>
      </x:c>
      <x:c r="C263" s="3" t="n">
        <x:v>2018</x:v>
      </x:c>
      <x:c r="D263" s="2" t="str">
        <x:v>Blu-ray</x:v>
      </x:c>
      <x:c r="E263" s="4"/>
      <x:c r="F263" s="3" t="n">
        <x:v>439079</x:v>
      </x:c>
      <x:c r="G263" s="5" t="n">
        <x:v>5.905</x:v>
      </x:c>
      <x:c r="H263" s="2" t="str">
        <x:v>Horror</x:v>
      </x:c>
      <x:c r="I263" s="6" t="str">
        <x:v>/sFC1ElvoKGdHJIWRpNB3xWJ9lJA.jpg</x:v>
      </x:c>
      <x:c r="J263" s="7" t="str">
        <x:v>https://image.tmdb.org/t/p/w342/sFC1ElvoKGdHJIWRpNB3xWJ9lJA.jpg</x:v>
      </x:c>
      <x:c r="K263" s="3" t="e">
        <x:f>IMAGE(J263)</x:f>
      </x:c>
      <x:c r="L263" s="8" t="n">
        <x:v>96</x:v>
      </x:c>
      <x:c r="M263" s="46" t="str">
        <x:v>A priest with a dark past and a novice nearing her final vows are sent by the Vatican to Romania to investigate a nun's death and face a demonic force.</x:v>
      </x:c>
      <x:c r="N263" s="2" t="n">
        <x:v>43348</x:v>
      </x:c>
      <x:c r="O263" s="2" t="str">
        <x:v>Unwatched</x:v>
      </x:c>
      <x:c r="P263" s="9"/>
      <x:c r="Q263" s="6"/>
      <x:c r="R263" s="2" t="str">
        <x:v>https://www.themoviedb.org/movie/439079</x:v>
      </x:c>
      <x:c r="S263" s="10" t="str">
        <x:v>Matched</x:v>
      </x:c>
    </x:row>
    <x:row r="264" ht="90" customHeight="1">
      <x:c r="A264" s="2" t="str">
        <x:v>Observe and Report (2009)</x:v>
      </x:c>
      <x:c r="B264" s="2" t="str">
        <x:v>Observe and Report</x:v>
      </x:c>
      <x:c r="C264" s="3" t="n">
        <x:v>2009</x:v>
      </x:c>
      <x:c r="D264" s="2" t="str">
        <x:v>Blu-ray</x:v>
      </x:c>
      <x:c r="E264" s="4"/>
      <x:c r="F264" s="3" t="n">
        <x:v>16991</x:v>
      </x:c>
      <x:c r="G264" s="5" t="n">
        <x:v>5.405</x:v>
      </x:c>
      <x:c r="H264" s="2" t="str">
        <x:v>Comedy, Crime, Drama</x:v>
      </x:c>
      <x:c r="I264" s="6" t="str">
        <x:v>/zHuouWUKlRK0SeIjzTlmtoPLrFA.jpg</x:v>
      </x:c>
      <x:c r="J264" s="7" t="str">
        <x:v>https://image.tmdb.org/t/p/w342/zHuouWUKlRK0SeIjzTlmtoPLrFA.jpg</x:v>
      </x:c>
      <x:c r="K264" s="3" t="e">
        <x:f>IMAGE(J264)</x:f>
      </x:c>
      <x:c r="L264" s="8" t="n">
        <x:v>86</x:v>
      </x:c>
      <x:c r="M264" s="46" t="str">
        <x:v>Mall security guard Ronnie Barnhardt is called into action to stop a flasher from turning shopper's paradise into his personal peep show. But when Barnhardt can't bring the culprit to justice, a surly police detective is recruited to close the case.</x:v>
      </x:c>
      <x:c r="N264" s="2" t="n">
        <x:v>39913</x:v>
      </x:c>
      <x:c r="O264" s="2" t="str">
        <x:v>Unwatched</x:v>
      </x:c>
      <x:c r="P264" s="9"/>
      <x:c r="Q264" s="6"/>
      <x:c r="R264" s="2" t="str">
        <x:v>https://www.themoviedb.org/movie/16991</x:v>
      </x:c>
      <x:c r="S264" s="10" t="str">
        <x:v>Matched</x:v>
      </x:c>
    </x:row>
    <x:row r="265" ht="90" customHeight="1">
      <x:c r="A265" s="2" t="str">
        <x:v>Oculus (2013)</x:v>
      </x:c>
      <x:c r="B265" s="2" t="str">
        <x:v>Oculus</x:v>
      </x:c>
      <x:c r="C265" s="3" t="n">
        <x:v>2013</x:v>
      </x:c>
      <x:c r="D265" s="2" t="str">
        <x:v>Blu-ray</x:v>
      </x:c>
      <x:c r="E265" s="4"/>
      <x:c r="F265" s="3" t="n">
        <x:v>385938</x:v>
      </x:c>
      <x:c r="G265" s="5" t="n">
        <x:v>6.7</x:v>
      </x:c>
      <x:c r="H265" s="2" t="str">
        <x:v>Horror</x:v>
      </x:c>
      <x:c r="I265" s="6" t="str">
        <x:v>/As3eTQXFBZZe2Gzf9ZzjFVULIIL.jpg</x:v>
      </x:c>
      <x:c r="J265" s="7" t="str">
        <x:v>https://image.tmdb.org/t/p/w342/As3eTQXFBZZe2Gzf9ZzjFVULIIL.jpg</x:v>
      </x:c>
      <x:c r="K265" s="3" t="e">
        <x:f>IMAGE(J265)</x:f>
      </x:c>
      <x:c r="L265" s="8" t="n">
        <x:v>14</x:v>
      </x:c>
      <x:c r="M265" s="46" t="str">
        <x:v>Mieke is being harassed by an inexplicable phenomenon. She is having nightmares and her children are acting strange. For no apparent reason her mother appears, after a long period without any contact. She tries to warn Mieke for impending doom. Has it something to do with the doll that one of her sons got for his birthday? Mieke makes a discovery, a very dark one. Something that will turn her life upside down.</x:v>
      </x:c>
      <x:c r="N265" s="2" t="n">
        <x:v>41292</x:v>
      </x:c>
      <x:c r="O265" s="2" t="str">
        <x:v>Unwatched</x:v>
      </x:c>
      <x:c r="P265" s="9"/>
      <x:c r="Q265" s="6"/>
      <x:c r="R265" s="2" t="str">
        <x:v>https://www.themoviedb.org/movie/385938</x:v>
      </x:c>
      <x:c r="S265" s="10" t="str">
        <x:v>Matched</x:v>
      </x:c>
    </x:row>
    <x:row r="266" ht="90" customHeight="1">
      <x:c r="A266" s="2" t="str">
        <x:v>Oddity (2024)</x:v>
      </x:c>
      <x:c r="B266" s="2" t="str">
        <x:v>Oddity</x:v>
      </x:c>
      <x:c r="C266" s="3" t="n">
        <x:v>2024</x:v>
      </x:c>
      <x:c r="D266" s="2" t="str">
        <x:v>Blu-ray</x:v>
      </x:c>
      <x:c r="E266" s="4"/>
      <x:c r="F266" s="3" t="n">
        <x:v>1216191</x:v>
      </x:c>
      <x:c r="G266" s="5" t="n">
        <x:v>6.644</x:v>
      </x:c>
      <x:c r="H266" s="2" t="str">
        <x:v>Horror, Mystery</x:v>
      </x:c>
      <x:c r="I266" s="6" t="str">
        <x:v>/3Z9c1tbUhP0QruRjczPHnbx3U2D.jpg</x:v>
      </x:c>
      <x:c r="J266" s="7" t="str">
        <x:v>https://image.tmdb.org/t/p/w342/3Z9c1tbUhP0QruRjczPHnbx3U2D.jpg</x:v>
      </x:c>
      <x:c r="K266" s="3" t="e">
        <x:f>IMAGE(J266)</x:f>
      </x:c>
      <x:c r="L266" s="8" t="n">
        <x:v>98</x:v>
      </x:c>
      <x:c r="M266" s="46" t="str">
        <x:v>After the brutal murder of her twin sister, Darcy goes after those responsible by using haunted items as her tools for revenge.</x:v>
      </x:c>
      <x:c r="N266" s="2" t="n">
        <x:v>45492</x:v>
      </x:c>
      <x:c r="O266" s="2" t="str">
        <x:v>Unwatched</x:v>
      </x:c>
      <x:c r="P266" s="9"/>
      <x:c r="Q266" s="6"/>
      <x:c r="R266" s="2" t="str">
        <x:v>https://www.themoviedb.org/movie/1216191</x:v>
      </x:c>
      <x:c r="S266" s="10" t="str">
        <x:v>Matched</x:v>
      </x:c>
    </x:row>
    <x:row r="267" ht="90" customHeight="1">
      <x:c r="A267" s="2" t="str">
        <x:v>Old School (2003)</x:v>
      </x:c>
      <x:c r="B267" s="2" t="str">
        <x:v>Old School</x:v>
      </x:c>
      <x:c r="C267" s="3" t="n">
        <x:v>2003</x:v>
      </x:c>
      <x:c r="D267" s="2" t="str">
        <x:v>Blu-ray</x:v>
      </x:c>
      <x:c r="E267" s="4"/>
      <x:c r="F267" s="3" t="n">
        <x:v>11635</x:v>
      </x:c>
      <x:c r="G267" s="5" t="n">
        <x:v>6.628</x:v>
      </x:c>
      <x:c r="H267" s="2" t="str">
        <x:v>Comedy</x:v>
      </x:c>
      <x:c r="I267" s="6" t="str">
        <x:v>/nYtuwNHpEoIbTgS3aFPSEwZNN6l.jpg</x:v>
      </x:c>
      <x:c r="J267" s="7" t="str">
        <x:v>https://image.tmdb.org/t/p/w342/nYtuwNHpEoIbTgS3aFPSEwZNN6l.jpg</x:v>
      </x:c>
      <x:c r="K267" s="3" t="e">
        <x:f>IMAGE(J267)</x:f>
      </x:c>
      <x:c r="L267" s="8" t="n">
        <x:v>92</x:v>
      </x:c>
      <x:c r="M267" s="46" t="str">
        <x:v>Three friends attempt to recapture their glory days by opening up a fraternity near their alma mater.</x:v>
      </x:c>
      <x:c r="N267" s="2" t="n">
        <x:v>37673</x:v>
      </x:c>
      <x:c r="O267" s="2" t="str">
        <x:v>Unwatched</x:v>
      </x:c>
      <x:c r="P267" s="9"/>
      <x:c r="Q267" s="6"/>
      <x:c r="R267" s="2" t="str">
        <x:v>https://www.themoviedb.org/movie/11635</x:v>
      </x:c>
      <x:c r="S267" s="10" t="str">
        <x:v>Matched</x:v>
      </x:c>
    </x:row>
    <x:row r="268" ht="90" customHeight="1">
      <x:c r="A268" s="2" t="str">
        <x:v>Oldboy (2003)</x:v>
      </x:c>
      <x:c r="B268" s="2" t="str">
        <x:v>Oldboy</x:v>
      </x:c>
      <x:c r="C268" s="3" t="n">
        <x:v>2003</x:v>
      </x:c>
      <x:c r="D268" s="2" t="str">
        <x:v>Blu-ray</x:v>
      </x:c>
      <x:c r="E268" s="4"/>
      <x:c r="F268" s="3" t="n">
        <x:v>670</x:v>
      </x:c>
      <x:c r="G268" s="5" t="n">
        <x:v>8.239</x:v>
      </x:c>
      <x:c r="H268" s="2" t="str">
        <x:v>Drama, Thriller, Mystery, Action</x:v>
      </x:c>
      <x:c r="I268" s="6" t="str">
        <x:v>/pWDtjs568ZfOTMbURQBYuT4Qxka.jpg</x:v>
      </x:c>
      <x:c r="J268" s="7" t="str">
        <x:v>https://image.tmdb.org/t/p/w342/pWDtjs568ZfOTMbURQBYuT4Qxka.jpg</x:v>
      </x:c>
      <x:c r="K268" s="3" t="e">
        <x:f>IMAGE(J268)</x:f>
      </x:c>
      <x:c r="L268" s="8" t="n">
        <x:v>120</x:v>
      </x:c>
      <x:c r="M268" s="46" t="str">
        <x:v>With no clue how he came to be imprisoned, drugged and tortured for 15 years, a desperate man seeks revenge on his captors.</x:v>
      </x:c>
      <x:c r="N268" s="2" t="n">
        <x:v>37946</x:v>
      </x:c>
      <x:c r="O268" s="2" t="str">
        <x:v>Unwatched</x:v>
      </x:c>
      <x:c r="P268" s="9"/>
      <x:c r="Q268" s="6"/>
      <x:c r="R268" s="2" t="str">
        <x:v>https://www.themoviedb.org/movie/670</x:v>
      </x:c>
      <x:c r="S268" s="10" t="str">
        <x:v>Matched</x:v>
      </x:c>
    </x:row>
    <x:row r="269" ht="90" customHeight="1">
      <x:c r="A269" s="2" t="str">
        <x:v>Orange Is the New Black (TV Series) (2013-2019)</x:v>
      </x:c>
      <x:c r="B269" s="2" t="str">
        <x:v>Orange Is the New Black (TV Series) (2013-2019)</x:v>
      </x:c>
      <x:c r="C269" s="7"/>
      <x:c r="D269" s="2" t="str">
        <x:v>Blu-ray (Season 1)</x:v>
      </x:c>
      <x:c r="E269" s="12"/>
      <x:c r="F269" s="7"/>
      <x:c r="G269" s="11"/>
      <x:c r="H269" s="7"/>
      <x:c r="I269" s="7"/>
      <x:c r="J269" s="7"/>
      <x:c r="K269" s="7"/>
      <x:c r="L269" s="13"/>
      <x:c r="M269" s="46"/>
      <x:c r="N269" s="2"/>
      <x:c r="O269" s="2" t="str">
        <x:v>Unwatched</x:v>
      </x:c>
      <x:c r="P269" s="9"/>
      <x:c r="Q269" s="7"/>
      <x:c r="R269" s="2"/>
      <x:c r="S269" s="10" t="str">
        <x:v>No TMDB match / check title-year</x:v>
      </x:c>
    </x:row>
    <x:row r="270" ht="90" customHeight="1">
      <x:c r="A270" s="2" t="str">
        <x:v>The Others (2001)</x:v>
      </x:c>
      <x:c r="B270" s="2" t="str">
        <x:v>The Others</x:v>
      </x:c>
      <x:c r="C270" s="3" t="n">
        <x:v>2001</x:v>
      </x:c>
      <x:c r="D270" s="2" t="str">
        <x:v>Blu-ray</x:v>
      </x:c>
      <x:c r="E270" s="4"/>
      <x:c r="F270" s="3" t="n">
        <x:v>1933</x:v>
      </x:c>
      <x:c r="G270" s="5" t="n">
        <x:v>7.616</x:v>
      </x:c>
      <x:c r="H270" s="2" t="str">
        <x:v>Horror, Mystery, Thriller</x:v>
      </x:c>
      <x:c r="I270" s="6" t="str">
        <x:v>/p8g1vlTvpM6nr2hMMiZ1fUlKF0D.jpg</x:v>
      </x:c>
      <x:c r="J270" s="7" t="str">
        <x:v>https://image.tmdb.org/t/p/w342/p8g1vlTvpM6nr2hMMiZ1fUlKF0D.jpg</x:v>
      </x:c>
      <x:c r="K270" s="3" t="e">
        <x:f>IMAGE(J270)</x:f>
      </x:c>
      <x:c r="L270" s="8" t="n">
        <x:v>101</x:v>
      </x:c>
      <x:c r="M270" s="46" t="str">
        <x:v>Grace is a woman who lives in an old house kept dark because her two children, Anne and Nicholas, have a rare sensitivity to light. When the family begins to suspect the house is haunted, Grace fights to protect her children at any cost in the face of strange events and disturbing visions.</x:v>
      </x:c>
      <x:c r="N270" s="2" t="n">
        <x:v>37105</x:v>
      </x:c>
      <x:c r="O270" s="2" t="str">
        <x:v>Unwatched</x:v>
      </x:c>
      <x:c r="P270" s="9"/>
      <x:c r="Q270" s="6"/>
      <x:c r="R270" s="2" t="str">
        <x:v>https://www.themoviedb.org/movie/1933</x:v>
      </x:c>
      <x:c r="S270" s="10" t="str">
        <x:v>Matched</x:v>
      </x:c>
    </x:row>
    <x:row r="271" ht="90" customHeight="1">
      <x:c r="A271" s="2" t="str">
        <x:v>Ouija: Origin of Evil (2016)</x:v>
      </x:c>
      <x:c r="B271" s="2" t="str">
        <x:v>Ouija: Origin of Evil</x:v>
      </x:c>
      <x:c r="C271" s="3" t="n">
        <x:v>2016</x:v>
      </x:c>
      <x:c r="D271" s="2" t="str">
        <x:v>Blu-ray</x:v>
      </x:c>
      <x:c r="E271" s="4"/>
      <x:c r="F271" s="3" t="n">
        <x:v>335796</x:v>
      </x:c>
      <x:c r="G271" s="5" t="n">
        <x:v>6.153</x:v>
      </x:c>
      <x:c r="H271" s="2" t="str">
        <x:v>Horror</x:v>
      </x:c>
      <x:c r="I271" s="6" t="str">
        <x:v>/gwynHc2RrOFaplYMMpQRpr3TIA4.jpg</x:v>
      </x:c>
      <x:c r="J271" s="7" t="str">
        <x:v>https://image.tmdb.org/t/p/w342/gwynHc2RrOFaplYMMpQRpr3TIA4.jpg</x:v>
      </x:c>
      <x:c r="K271" s="3" t="e">
        <x:f>IMAGE(J271)</x:f>
      </x:c>
      <x:c r="L271" s="8" t="n">
        <x:v>99</x:v>
      </x:c>
      <x:c r="M271" s="46" t="str">
        <x:v>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x:v>
      </x:c>
      <x:c r="N271" s="2" t="n">
        <x:v>42663</x:v>
      </x:c>
      <x:c r="O271" s="2" t="str">
        <x:v>Unwatched</x:v>
      </x:c>
      <x:c r="P271" s="9"/>
      <x:c r="Q271" s="6"/>
      <x:c r="R271" s="2" t="str">
        <x:v>https://www.themoviedb.org/movie/335796</x:v>
      </x:c>
      <x:c r="S271" s="10" t="str">
        <x:v>Matched</x:v>
      </x:c>
    </x:row>
    <x:row r="272" ht="90" customHeight="1">
      <x:c r="A272" s="2" t="str">
        <x:v>Our Idiot Brother (2011)</x:v>
      </x:c>
      <x:c r="B272" s="2" t="str">
        <x:v>Our Idiot Brother</x:v>
      </x:c>
      <x:c r="C272" s="3" t="n">
        <x:v>2011</x:v>
      </x:c>
      <x:c r="D272" s="2" t="str">
        <x:v>Blu-ray</x:v>
      </x:c>
      <x:c r="E272" s="4"/>
      <x:c r="F272" s="3" t="n">
        <x:v>59968</x:v>
      </x:c>
      <x:c r="G272" s="5" t="n">
        <x:v>6.138</x:v>
      </x:c>
      <x:c r="H272" s="2" t="str">
        <x:v>Comedy, Drama</x:v>
      </x:c>
      <x:c r="I272" s="6" t="str">
        <x:v>/2HahJCcUEduvMUTQhsqRwutpFw1.jpg</x:v>
      </x:c>
      <x:c r="J272" s="7" t="str">
        <x:v>https://image.tmdb.org/t/p/w342/2HahJCcUEduvMUTQhsqRwutpFw1.jpg</x:v>
      </x:c>
      <x:c r="K272" s="3" t="e">
        <x:f>IMAGE(J272)</x:f>
      </x:c>
      <x:c r="L272" s="8" t="n">
        <x:v>90</x:v>
      </x:c>
      <x:c r="M272" s="46" t="str">
        <x:v>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x:v>
      </x:c>
      <x:c r="N272" s="2" t="n">
        <x:v>40781</x:v>
      </x:c>
      <x:c r="O272" s="2" t="str">
        <x:v>Unwatched</x:v>
      </x:c>
      <x:c r="P272" s="9"/>
      <x:c r="Q272" s="6"/>
      <x:c r="R272" s="2" t="str">
        <x:v>https://www.themoviedb.org/movie/59968</x:v>
      </x:c>
      <x:c r="S272" s="10" t="str">
        <x:v>Matched</x:v>
      </x:c>
    </x:row>
    <x:row r="273" ht="90" customHeight="1">
      <x:c r="A273" s="2" t="str">
        <x:v>Paranormal Activity (2007)</x:v>
      </x:c>
      <x:c r="B273" s="2" t="str">
        <x:v>Paranormal Activity</x:v>
      </x:c>
      <x:c r="C273" s="3" t="n">
        <x:v>2007</x:v>
      </x:c>
      <x:c r="D273" s="2" t="str">
        <x:v>Blu-ray</x:v>
      </x:c>
      <x:c r="E273" s="4"/>
      <x:c r="F273" s="3" t="n">
        <x:v>23827</x:v>
      </x:c>
      <x:c r="G273" s="5" t="n">
        <x:v>6.048</x:v>
      </x:c>
      <x:c r="H273" s="2" t="str">
        <x:v>Horror, Mystery</x:v>
      </x:c>
      <x:c r="I273" s="6" t="str">
        <x:v>/tmclkEpjeo4Zu564gf3KrwIOuKw.jpg</x:v>
      </x:c>
      <x:c r="J273" s="7" t="str">
        <x:v>https://image.tmdb.org/t/p/w342/tmclkEpjeo4Zu564gf3KrwIOuKw.jpg</x:v>
      </x:c>
      <x:c r="K273" s="3" t="e">
        <x:f>IMAGE(J273)</x:f>
      </x:c>
      <x:c r="L273" s="8" t="n">
        <x:v>86</x:v>
      </x:c>
      <x:c r="M273" s="46" t="str">
        <x:v>After a young, middle-class couple moves into what seems like a typical suburban house, they become increasingly disturbed by a presence that may or may not be demonic but is certainly the most active in the middle of the night.</x:v>
      </x:c>
      <x:c r="N273" s="2" t="n">
        <x:v>39339</x:v>
      </x:c>
      <x:c r="O273" s="2" t="str">
        <x:v>Unwatched</x:v>
      </x:c>
      <x:c r="P273" s="9"/>
      <x:c r="Q273" s="6"/>
      <x:c r="R273" s="2" t="str">
        <x:v>https://www.themoviedb.org/movie/23827</x:v>
      </x:c>
      <x:c r="S273" s="10" t="str">
        <x:v>Matched</x:v>
      </x:c>
    </x:row>
    <x:row r="274" ht="90" customHeight="1">
      <x:c r="A274" s="2" t="str">
        <x:v>Paranormal Activity 2 (2010)</x:v>
      </x:c>
      <x:c r="B274" s="2" t="str">
        <x:v>Paranormal Activity 2</x:v>
      </x:c>
      <x:c r="C274" s="3" t="n">
        <x:v>2010</x:v>
      </x:c>
      <x:c r="D274" s="2" t="str">
        <x:v>Blu-ray</x:v>
      </x:c>
      <x:c r="E274" s="4"/>
      <x:c r="F274" s="3" t="n">
        <x:v>41436</x:v>
      </x:c>
      <x:c r="G274" s="5" t="n">
        <x:v>5.789</x:v>
      </x:c>
      <x:c r="H274" s="2" t="str">
        <x:v>Horror, Mystery</x:v>
      </x:c>
      <x:c r="I274" s="6" t="str">
        <x:v>/gfdrkBZAyUUXJJ2iLQe03SAYRD3.jpg</x:v>
      </x:c>
      <x:c r="J274" s="7" t="str">
        <x:v>https://image.tmdb.org/t/p/w342/gfdrkBZAyUUXJJ2iLQe03SAYRD3.jpg</x:v>
      </x:c>
      <x:c r="K274" s="3" t="e">
        <x:f>IMAGE(J274)</x:f>
      </x:c>
      <x:c r="L274" s="8" t="n">
        <x:v>91</x:v>
      </x:c>
      <x:c r="M274" s="46" t="str">
        <x:v>Just as Daniel and Kristi welcome a newborn baby into their home, a demonic presence begins terrorizing them, tearing apart their perfect world and turning it into an inescapable nightmare.</x:v>
      </x:c>
      <x:c r="N274" s="2" t="n">
        <x:v>40471</x:v>
      </x:c>
      <x:c r="O274" s="2" t="str">
        <x:v>Unwatched</x:v>
      </x:c>
      <x:c r="P274" s="9"/>
      <x:c r="Q274" s="6"/>
      <x:c r="R274" s="2" t="str">
        <x:v>https://www.themoviedb.org/movie/41436</x:v>
      </x:c>
      <x:c r="S274" s="10" t="str">
        <x:v>Matched</x:v>
      </x:c>
    </x:row>
    <x:row r="275" ht="90" customHeight="1">
      <x:c r="A275" s="2" t="str">
        <x:v>Paranormal Activity 3 (2011)</x:v>
      </x:c>
      <x:c r="B275" s="2" t="str">
        <x:v>Paranormal Activity 3</x:v>
      </x:c>
      <x:c r="C275" s="3" t="n">
        <x:v>2011</x:v>
      </x:c>
      <x:c r="D275" s="2" t="str">
        <x:v>Blu-ray</x:v>
      </x:c>
      <x:c r="E275" s="4"/>
      <x:c r="F275" s="3" t="n">
        <x:v>72571</x:v>
      </x:c>
      <x:c r="G275" s="5" t="n">
        <x:v>5.914</x:v>
      </x:c>
      <x:c r="H275" s="2" t="str">
        <x:v>Horror, Mystery</x:v>
      </x:c>
      <x:c r="I275" s="6" t="str">
        <x:v>/9nYranPiWdNmbD5PRPPSL7VUFTS.jpg</x:v>
      </x:c>
      <x:c r="J275" s="7" t="str">
        <x:v>https://image.tmdb.org/t/p/w342/9nYranPiWdNmbD5PRPPSL7VUFTS.jpg</x:v>
      </x:c>
      <x:c r="K275" s="3" t="e">
        <x:f>IMAGE(J275)</x:f>
      </x:c>
      <x:c r="L275" s="8" t="n">
        <x:v>83</x:v>
      </x:c>
      <x:c r="M275" s="46" t="str">
        <x:v>In 1988, young sisters Katie and Kristi befriend an invisible entity who resides in their home.</x:v>
      </x:c>
      <x:c r="N275" s="2" t="n">
        <x:v>40835</x:v>
      </x:c>
      <x:c r="O275" s="2" t="str">
        <x:v>Unwatched</x:v>
      </x:c>
      <x:c r="P275" s="9"/>
      <x:c r="Q275" s="6"/>
      <x:c r="R275" s="2" t="str">
        <x:v>https://www.themoviedb.org/movie/72571</x:v>
      </x:c>
      <x:c r="S275" s="10" t="str">
        <x:v>Matched</x:v>
      </x:c>
    </x:row>
    <x:row r="276" ht="90" customHeight="1">
      <x:c r="A276" s="2" t="str">
        <x:v>Paranormal Activity 4 (2012)</x:v>
      </x:c>
      <x:c r="B276" s="2" t="str">
        <x:v>Paranormal Activity 4</x:v>
      </x:c>
      <x:c r="C276" s="3" t="n">
        <x:v>2012</x:v>
      </x:c>
      <x:c r="D276" s="2" t="str">
        <x:v>Blu-ray</x:v>
      </x:c>
      <x:c r="E276" s="4"/>
      <x:c r="F276" s="3" t="n">
        <x:v>82990</x:v>
      </x:c>
      <x:c r="G276" s="5" t="n">
        <x:v>5.406</x:v>
      </x:c>
      <x:c r="H276" s="2" t="str">
        <x:v>Horror</x:v>
      </x:c>
      <x:c r="I276" s="6" t="str">
        <x:v>/na5tAslm1kGNcft083AIXMTOsYR.jpg</x:v>
      </x:c>
      <x:c r="J276" s="7" t="str">
        <x:v>https://image.tmdb.org/t/p/w342/na5tAslm1kGNcft083AIXMTOsYR.jpg</x:v>
      </x:c>
      <x:c r="K276" s="3" t="e">
        <x:f>IMAGE(J276)</x:f>
      </x:c>
      <x:c r="L276" s="8" t="n">
        <x:v>87</x:v>
      </x:c>
      <x:c r="M276" s="46" t="str">
        <x:v>It has been five years since the disappearance of Katie and Hunter, and a suburban family witness strange events in their neighborhood when a woman and a mysterious child move in.</x:v>
      </x:c>
      <x:c r="N276" s="2" t="n">
        <x:v>41199</x:v>
      </x:c>
      <x:c r="O276" s="2" t="str">
        <x:v>Unwatched</x:v>
      </x:c>
      <x:c r="P276" s="9"/>
      <x:c r="Q276" s="6"/>
      <x:c r="R276" s="2" t="str">
        <x:v>https://www.themoviedb.org/movie/82990</x:v>
      </x:c>
      <x:c r="S276" s="10" t="str">
        <x:v>Matched</x:v>
      </x:c>
    </x:row>
    <x:row r="277" ht="90" customHeight="1">
      <x:c r="A277" s="2" t="str">
        <x:v>Paranormal Activity: The Ghost Dimension (2015)</x:v>
      </x:c>
      <x:c r="B277" s="2" t="str">
        <x:v>Paranormal Activity: The Ghost Dimension</x:v>
      </x:c>
      <x:c r="C277" s="3" t="n">
        <x:v>2015</x:v>
      </x:c>
      <x:c r="D277" s="2" t="str">
        <x:v>Blu-ray</x:v>
      </x:c>
      <x:c r="E277" s="4"/>
      <x:c r="F277" s="3" t="n">
        <x:v>146301</x:v>
      </x:c>
      <x:c r="G277" s="5" t="n">
        <x:v>5.307</x:v>
      </x:c>
      <x:c r="H277" s="2" t="str">
        <x:v>Horror, Thriller</x:v>
      </x:c>
      <x:c r="I277" s="6" t="str">
        <x:v>/1YpFQ2MQKzlDoa8diLWkapdRI8t.jpg</x:v>
      </x:c>
      <x:c r="J277" s="7" t="str">
        <x:v>https://image.tmdb.org/t/p/w342/1YpFQ2MQKzlDoa8diLWkapdRI8t.jpg</x:v>
      </x:c>
      <x:c r="K277" s="3" t="e">
        <x:f>IMAGE(J277)</x:f>
      </x:c>
      <x:c r="L277" s="8" t="n">
        <x:v>87</x:v>
      </x:c>
      <x:c r="M277" s="46" t="str">
        <x:v>Using a special camera that can see spirits, a family must protect their daughter from an evil entity with a sinister plan.</x:v>
      </x:c>
      <x:c r="N277" s="2" t="n">
        <x:v>42298</x:v>
      </x:c>
      <x:c r="O277" s="2" t="str">
        <x:v>Unwatched</x:v>
      </x:c>
      <x:c r="P277" s="9"/>
      <x:c r="Q277" s="6"/>
      <x:c r="R277" s="2" t="str">
        <x:v>https://www.themoviedb.org/movie/146301</x:v>
      </x:c>
      <x:c r="S277" s="10" t="str">
        <x:v>Matched</x:v>
      </x:c>
    </x:row>
    <x:row r="278" ht="90" customHeight="1">
      <x:c r="A278" s="2" t="str">
        <x:v>Paranormal Activity: The Marked Ones (2014)</x:v>
      </x:c>
      <x:c r="B278" s="2" t="str">
        <x:v>Paranormal Activity: The Marked Ones</x:v>
      </x:c>
      <x:c r="C278" s="3" t="n">
        <x:v>2014</x:v>
      </x:c>
      <x:c r="D278" s="2" t="str">
        <x:v>Blu-ray</x:v>
      </x:c>
      <x:c r="E278" s="4"/>
      <x:c r="F278" s="3" t="n">
        <x:v>227348</x:v>
      </x:c>
      <x:c r="G278" s="5" t="n">
        <x:v>5.432</x:v>
      </x:c>
      <x:c r="H278" s="2" t="str">
        <x:v>Horror, Thriller</x:v>
      </x:c>
      <x:c r="I278" s="6" t="str">
        <x:v>/2o4vBAnORr9UnLMvWHhULGDHfzH.jpg</x:v>
      </x:c>
      <x:c r="J278" s="7" t="str">
        <x:v>https://image.tmdb.org/t/p/w342/2o4vBAnORr9UnLMvWHhULGDHfzH.jpg</x:v>
      </x:c>
      <x:c r="K278" s="3" t="e">
        <x:f>IMAGE(J278)</x:f>
      </x:c>
      <x:c r="L278" s="8" t="n">
        <x:v>84</x:v>
      </x:c>
      <x:c r="M278" s="46" t="str">
        <x:v>Seventeen-year-old Jesse has been hearing terrifying sounds coming from his neighbor’s apartment, but when he turns on his camera and sets out to uncover their source, he encounters an ancient evil that won’t rest until it’s claimed his very soul.</x:v>
      </x:c>
      <x:c r="N278" s="2" t="n">
        <x:v>41640</x:v>
      </x:c>
      <x:c r="O278" s="2" t="str">
        <x:v>Unwatched</x:v>
      </x:c>
      <x:c r="P278" s="9"/>
      <x:c r="Q278" s="6"/>
      <x:c r="R278" s="2" t="str">
        <x:v>https://www.themoviedb.org/movie/227348</x:v>
      </x:c>
      <x:c r="S278" s="10" t="str">
        <x:v>Matched</x:v>
      </x:c>
    </x:row>
    <x:row r="279" ht="90" customHeight="1">
      <x:c r="A279" s="2" t="str">
        <x:v>Parasite (2019)</x:v>
      </x:c>
      <x:c r="B279" s="2" t="str">
        <x:v>Parasite</x:v>
      </x:c>
      <x:c r="C279" s="3" t="n">
        <x:v>2019</x:v>
      </x:c>
      <x:c r="D279" s="2" t="str">
        <x:v>Blu-ray</x:v>
      </x:c>
      <x:c r="E279" s="4"/>
      <x:c r="F279" s="3" t="n">
        <x:v>496243</x:v>
      </x:c>
      <x:c r="G279" s="5" t="n">
        <x:v>8.494</x:v>
      </x:c>
      <x:c r="H279" s="2" t="str">
        <x:v>Comedy, Thriller, Drama</x:v>
      </x:c>
      <x:c r="I279" s="6" t="str">
        <x:v>/7IiTTgloJzvGI1TAYymCfbfl3vT.jpg</x:v>
      </x:c>
      <x:c r="J279" s="7" t="str">
        <x:v>https://image.tmdb.org/t/p/w342/7IiTTgloJzvGI1TAYymCfbfl3vT.jpg</x:v>
      </x:c>
      <x:c r="K279" s="3" t="e">
        <x:f>IMAGE(J279)</x:f>
      </x:c>
      <x:c r="L279" s="8" t="n">
        <x:v>133</x:v>
      </x:c>
      <x:c r="M279" s="46" t="str">
        <x:v>All unemployed, Ki-taek's family takes peculiar interest in the wealthy and glamorous Parks for their livelihood until they get entangled in an unexpected incident.</x:v>
      </x:c>
      <x:c r="N279" s="2" t="n">
        <x:v>43615</x:v>
      </x:c>
      <x:c r="O279" s="2" t="str">
        <x:v>Unwatched</x:v>
      </x:c>
      <x:c r="P279" s="9"/>
      <x:c r="Q279" s="6"/>
      <x:c r="R279" s="2" t="str">
        <x:v>https://www.themoviedb.org/movie/496243</x:v>
      </x:c>
      <x:c r="S279" s="10" t="str">
        <x:v>Matched</x:v>
      </x:c>
    </x:row>
    <x:row r="280" ht="90" customHeight="1">
      <x:c r="A280" s="2" t="str">
        <x:v>Paul (2011)</x:v>
      </x:c>
      <x:c r="B280" s="2" t="str">
        <x:v>Paul</x:v>
      </x:c>
      <x:c r="C280" s="3" t="n">
        <x:v>2011</x:v>
      </x:c>
      <x:c r="D280" s="2" t="str">
        <x:v>Blu-ray</x:v>
      </x:c>
      <x:c r="E280" s="4"/>
      <x:c r="F280" s="3" t="n">
        <x:v>39513</x:v>
      </x:c>
      <x:c r="G280" s="5" t="n">
        <x:v>6.7</x:v>
      </x:c>
      <x:c r="H280" s="2" t="str">
        <x:v>Adventure, Comedy, Science Fiction</x:v>
      </x:c>
      <x:c r="I280" s="6" t="str">
        <x:v>/dKhexH8nS08lVlSmwSs00cHFxbY.jpg</x:v>
      </x:c>
      <x:c r="J280" s="7" t="str">
        <x:v>https://image.tmdb.org/t/p/w342/dKhexH8nS08lVlSmwSs00cHFxbY.jpg</x:v>
      </x:c>
      <x:c r="K280" s="3" t="e">
        <x:f>IMAGE(J280)</x:f>
      </x:c>
      <x:c r="L280" s="8" t="n">
        <x:v>104</x:v>
      </x:c>
      <x:c r="M280" s="46" t="str">
        <x:v>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x:v>
      </x:c>
      <x:c r="N280" s="2" t="n">
        <x:v>40588</x:v>
      </x:c>
      <x:c r="O280" s="2" t="str">
        <x:v>Unwatched</x:v>
      </x:c>
      <x:c r="P280" s="9"/>
      <x:c r="Q280" s="6"/>
      <x:c r="R280" s="2" t="str">
        <x:v>https://www.themoviedb.org/movie/39513</x:v>
      </x:c>
      <x:c r="S280" s="10" t="str">
        <x:v>Matched</x:v>
      </x:c>
    </x:row>
    <x:row r="281" ht="90" customHeight="1">
      <x:c r="A281" s="2" t="str">
        <x:v>Pearl (2022)</x:v>
      </x:c>
      <x:c r="B281" s="2" t="str">
        <x:v>Pearl</x:v>
      </x:c>
      <x:c r="C281" s="3" t="n">
        <x:v>2022</x:v>
      </x:c>
      <x:c r="D281" s="2" t="str">
        <x:v>Blu-ray</x:v>
      </x:c>
      <x:c r="E281" s="4"/>
      <x:c r="F281" s="3" t="n">
        <x:v>949423</x:v>
      </x:c>
      <x:c r="G281" s="5" t="n">
        <x:v>7.233</x:v>
      </x:c>
      <x:c r="H281" s="2" t="str">
        <x:v>Horror</x:v>
      </x:c>
      <x:c r="I281" s="6" t="str">
        <x:v>/z5uIG81pXyHKg7cUFIu84Wjn4NS.jpg</x:v>
      </x:c>
      <x:c r="J281" s="7" t="str">
        <x:v>https://image.tmdb.org/t/p/w342/z5uIG81pXyHKg7cUFIu84Wjn4NS.jpg</x:v>
      </x:c>
      <x:c r="K281" s="3" t="e">
        <x:f>IMAGE(J281)</x:f>
      </x:c>
      <x:c r="L281" s="8" t="n">
        <x:v>102</x:v>
      </x:c>
      <x:c r="M281" s="46" t="str">
        <x:v>Trapped on her family’s isolated farm, Pearl must tend to her ailing father under the bitter and overbearing watch of her devout mother. Lusting for a glamorous life like she’s seen in the movies, Pearl’s ambitions, temptations, and repressions collide.</x:v>
      </x:c>
      <x:c r="N281" s="2" t="n">
        <x:v>44820</x:v>
      </x:c>
      <x:c r="O281" s="2" t="str">
        <x:v>Unwatched</x:v>
      </x:c>
      <x:c r="P281" s="9"/>
      <x:c r="Q281" s="6"/>
      <x:c r="R281" s="2" t="str">
        <x:v>https://www.themoviedb.org/movie/949423</x:v>
      </x:c>
      <x:c r="S281" s="10" t="str">
        <x:v>Matched</x:v>
      </x:c>
    </x:row>
    <x:row r="282" ht="90" customHeight="1">
      <x:c r="A282" s="2" t="str">
        <x:v>Pet Sematary (1989)</x:v>
      </x:c>
      <x:c r="B282" s="2" t="str">
        <x:v>Pet Sematary</x:v>
      </x:c>
      <x:c r="C282" s="3" t="n">
        <x:v>1989</x:v>
      </x:c>
      <x:c r="D282" s="2" t="str">
        <x:v>Blu-ray</x:v>
      </x:c>
      <x:c r="E282" s="4"/>
      <x:c r="F282" s="3" t="n">
        <x:v>8913</x:v>
      </x:c>
      <x:c r="G282" s="5" t="n">
        <x:v>6.6</x:v>
      </x:c>
      <x:c r="H282" s="2" t="str">
        <x:v>Horror</x:v>
      </x:c>
      <x:c r="I282" s="6" t="str">
        <x:v>/a1gIACZb04bL8EvLqMpofW2Eqeo.jpg</x:v>
      </x:c>
      <x:c r="J282" s="7" t="str">
        <x:v>https://image.tmdb.org/t/p/w342/a1gIACZb04bL8EvLqMpofW2Eqeo.jpg</x:v>
      </x:c>
      <x:c r="K282" s="3" t="e">
        <x:f>IMAGE(J282)</x:f>
      </x:c>
      <x:c r="L282" s="8" t="n">
        <x:v>103</x:v>
      </x:c>
      <x:c r="M282" s="46" t="str">
        <x:v>After the Creed family's cat is accidentally killed, a friendly neighbor advises its burial in a mysterious nearby cemetery.</x:v>
      </x:c>
      <x:c r="N282" s="2" t="n">
        <x:v>32619</x:v>
      </x:c>
      <x:c r="O282" s="2" t="str">
        <x:v>Unwatched</x:v>
      </x:c>
      <x:c r="P282" s="9"/>
      <x:c r="Q282" s="6"/>
      <x:c r="R282" s="2" t="str">
        <x:v>https://www.themoviedb.org/movie/8913</x:v>
      </x:c>
      <x:c r="S282" s="10" t="str">
        <x:v>Matched</x:v>
      </x:c>
    </x:row>
    <x:row r="283" ht="90" customHeight="1">
      <x:c r="A283" s="2" t="str">
        <x:v>Pineapple Express (2008)</x:v>
      </x:c>
      <x:c r="B283" s="2" t="str">
        <x:v>Pineapple Express</x:v>
      </x:c>
      <x:c r="C283" s="3" t="n">
        <x:v>2008</x:v>
      </x:c>
      <x:c r="D283" s="2" t="str">
        <x:v>Blu-ray</x:v>
      </x:c>
      <x:c r="E283" s="4"/>
      <x:c r="F283" s="3" t="n">
        <x:v>10189</x:v>
      </x:c>
      <x:c r="G283" s="5" t="n">
        <x:v>6.6</x:v>
      </x:c>
      <x:c r="H283" s="2" t="str">
        <x:v>Action, Comedy, Crime</x:v>
      </x:c>
      <x:c r="I283" s="6" t="str">
        <x:v>/6E50WjeOYjDZg9HXgPjYdGtY2jG.jpg</x:v>
      </x:c>
      <x:c r="J283" s="7" t="str">
        <x:v>https://image.tmdb.org/t/p/w342/6E50WjeOYjDZg9HXgPjYdGtY2jG.jpg</x:v>
      </x:c>
      <x:c r="K283" s="3" t="e">
        <x:f>IMAGE(J283)</x:f>
      </x:c>
      <x:c r="L283" s="8" t="n">
        <x:v>112</x:v>
      </x:c>
      <x:c r="M283" s="46" t="str">
        <x:v>A stoner and his dealer are forced to go on the run from the police after the pothead witnesses a cop commit a murder.</x:v>
      </x:c>
      <x:c r="N283" s="2" t="n">
        <x:v>39666</x:v>
      </x:c>
      <x:c r="O283" s="2" t="str">
        <x:v>Unwatched</x:v>
      </x:c>
      <x:c r="P283" s="9"/>
      <x:c r="Q283" s="6"/>
      <x:c r="R283" s="2" t="str">
        <x:v>https://www.themoviedb.org/movie/10189</x:v>
      </x:c>
      <x:c r="S283" s="10" t="str">
        <x:v>Matched</x:v>
      </x:c>
    </x:row>
    <x:row r="284" ht="90" customHeight="1">
      <x:c r="A284" s="2" t="str">
        <x:v>Pitch Perfect (2012)</x:v>
      </x:c>
      <x:c r="B284" s="2" t="str">
        <x:v>Pitch Perfect</x:v>
      </x:c>
      <x:c r="C284" s="3" t="n">
        <x:v>2012</x:v>
      </x:c>
      <x:c r="D284" s="2" t="str">
        <x:v>Blu-ray</x:v>
      </x:c>
      <x:c r="E284" s="4"/>
      <x:c r="F284" s="3" t="n">
        <x:v>114150</x:v>
      </x:c>
      <x:c r="G284" s="5" t="n">
        <x:v>7.272</x:v>
      </x:c>
      <x:c r="H284" s="2" t="str">
        <x:v>Comedy, Music, Romance</x:v>
      </x:c>
      <x:c r="I284" s="6" t="str">
        <x:v>/gsFoJk9g8W3zgaipRrrURk7LbiF.jpg</x:v>
      </x:c>
      <x:c r="J284" s="7" t="str">
        <x:v>https://image.tmdb.org/t/p/w342/gsFoJk9g8W3zgaipRrrURk7LbiF.jpg</x:v>
      </x:c>
      <x:c r="K284" s="3" t="e">
        <x:f>IMAGE(J284)</x:f>
      </x:c>
      <x:c r="L284" s="8" t="n">
        <x:v>112</x:v>
      </x:c>
      <x:c r="M284" s="46" t="str">
        <x: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x:v>
      </x:c>
      <x:c r="N284" s="2" t="n">
        <x:v>41180</x:v>
      </x:c>
      <x:c r="O284" s="2" t="str">
        <x:v>Unwatched</x:v>
      </x:c>
      <x:c r="P284" s="9"/>
      <x:c r="Q284" s="6"/>
      <x:c r="R284" s="2" t="str">
        <x:v>https://www.themoviedb.org/movie/114150</x:v>
      </x:c>
      <x:c r="S284" s="10" t="str">
        <x:v>Matched</x:v>
      </x:c>
    </x:row>
    <x:row r="285" ht="90" customHeight="1">
      <x:c r="A285" s="2" t="str">
        <x:v>Pitch Perfect 2 (2015)</x:v>
      </x:c>
      <x:c r="B285" s="2" t="str">
        <x:v>Pitch Perfect 2</x:v>
      </x:c>
      <x:c r="C285" s="3" t="n">
        <x:v>2015</x:v>
      </x:c>
      <x:c r="D285" s="2" t="str">
        <x:v>Blu-ray</x:v>
      </x:c>
      <x:c r="E285" s="4"/>
      <x:c r="F285" s="3" t="n">
        <x:v>254470</x:v>
      </x:c>
      <x:c r="G285" s="5" t="n">
        <x:v>6.8</x:v>
      </x:c>
      <x:c r="H285" s="2" t="str">
        <x:v>Comedy, Music</x:v>
      </x:c>
      <x:c r="I285" s="6" t="str">
        <x:v>/oFBQUufCV4c8WZoNhtGM17p884H.jpg</x:v>
      </x:c>
      <x:c r="J285" s="7" t="str">
        <x:v>https://image.tmdb.org/t/p/w342/oFBQUufCV4c8WZoNhtGM17p884H.jpg</x:v>
      </x:c>
      <x:c r="K285" s="3" t="e">
        <x:f>IMAGE(J285)</x:f>
      </x:c>
      <x:c r="L285" s="8" t="n">
        <x:v>115</x:v>
      </x:c>
      <x:c r="M285" s="46" t="str">
        <x: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x:v>
      </x:c>
      <x:c r="N285" s="2" t="n">
        <x:v>42131</x:v>
      </x:c>
      <x:c r="O285" s="2" t="str">
        <x:v>Unwatched</x:v>
      </x:c>
      <x:c r="P285" s="9"/>
      <x:c r="Q285" s="6"/>
      <x:c r="R285" s="2" t="str">
        <x:v>https://www.themoviedb.org/movie/254470</x:v>
      </x:c>
      <x:c r="S285" s="10" t="str">
        <x:v>Matched</x:v>
      </x:c>
    </x:row>
    <x:row r="286" ht="90" customHeight="1">
      <x:c r="A286" s="2" t="str">
        <x:v>Planet Earth II (2016)</x:v>
      </x:c>
      <x:c r="B286" s="2" t="str">
        <x:v>Planet Earth II</x:v>
      </x:c>
      <x:c r="C286" s="3" t="n">
        <x:v>2016</x:v>
      </x:c>
      <x:c r="D286" s="2" t="str">
        <x:v>Blu-ray</x:v>
      </x:c>
      <x:c r="E286" s="12"/>
      <x:c r="F286" s="7"/>
      <x:c r="G286" s="11"/>
      <x:c r="H286" s="7"/>
      <x:c r="I286" s="7"/>
      <x:c r="J286" s="7"/>
      <x:c r="K286" s="7"/>
      <x:c r="L286" s="13"/>
      <x:c r="M286" s="46"/>
      <x:c r="N286" s="2"/>
      <x:c r="O286" s="2" t="str">
        <x:v>Unwatched</x:v>
      </x:c>
      <x:c r="P286" s="9"/>
      <x:c r="Q286" s="7"/>
      <x:c r="R286" s="2"/>
      <x:c r="S286" s="10" t="str">
        <x:v>No TMDB match / check title-year</x:v>
      </x:c>
    </x:row>
    <x:row r="287" ht="90" customHeight="1">
      <x:c r="A287" s="2" t="str">
        <x:v>Planet Earth III (TV Series) (2023)</x:v>
      </x:c>
      <x:c r="B287" s="2" t="str">
        <x:v>Planet Earth III (TV Series)</x:v>
      </x:c>
      <x:c r="C287" s="3" t="n">
        <x:v>2023</x:v>
      </x:c>
      <x:c r="D287" s="2" t="str">
        <x:v>Blu-ray (Season 1)</x:v>
      </x:c>
      <x:c r="E287" s="12"/>
      <x:c r="F287" s="7"/>
      <x:c r="G287" s="11"/>
      <x:c r="H287" s="7"/>
      <x:c r="I287" s="7"/>
      <x:c r="J287" s="7"/>
      <x:c r="K287" s="7"/>
      <x:c r="L287" s="13"/>
      <x:c r="M287" s="46"/>
      <x:c r="N287" s="2"/>
      <x:c r="O287" s="2" t="str">
        <x:v>Unwatched</x:v>
      </x:c>
      <x:c r="P287" s="9"/>
      <x:c r="Q287" s="7"/>
      <x:c r="R287" s="2"/>
      <x:c r="S287" s="10" t="str">
        <x:v>No TMDB match / check title-year</x:v>
      </x:c>
    </x:row>
    <x:row r="288" ht="90" customHeight="1">
      <x:c r="A288" s="2" t="str">
        <x:v>Planet Terror (2007)</x:v>
      </x:c>
      <x:c r="B288" s="2" t="str">
        <x:v>Planet Terror</x:v>
      </x:c>
      <x:c r="C288" s="3" t="n">
        <x:v>2007</x:v>
      </x:c>
      <x:c r="D288" s="2" t="str">
        <x:v>Blu-ray</x:v>
      </x:c>
      <x:c r="E288" s="4"/>
      <x:c r="F288" s="3" t="n">
        <x:v>1992</x:v>
      </x:c>
      <x:c r="G288" s="5" t="n">
        <x:v>6.7</x:v>
      </x:c>
      <x:c r="H288" s="2" t="str">
        <x:v>Horror, Action, Thriller</x:v>
      </x:c>
      <x:c r="I288" s="6" t="str">
        <x:v>/3705GxG0RN9XDV5y9IiXKYHw1fK.jpg</x:v>
      </x:c>
      <x:c r="J288" s="7" t="str">
        <x:v>https://image.tmdb.org/t/p/w342/3705GxG0RN9XDV5y9IiXKYHw1fK.jpg</x:v>
      </x:c>
      <x:c r="K288" s="3" t="e">
        <x:f>IMAGE(J288)</x:f>
      </x:c>
      <x:c r="L288" s="8" t="n">
        <x:v>105</x:v>
      </x:c>
      <x:c r="M288" s="46" t="str">
        <x:v>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x:v>
      </x:c>
      <x:c r="N288" s="2" t="n">
        <x:v>39178</x:v>
      </x:c>
      <x:c r="O288" s="2" t="str">
        <x:v>Unwatched</x:v>
      </x:c>
      <x:c r="P288" s="9"/>
      <x:c r="Q288" s="6"/>
      <x:c r="R288" s="2" t="str">
        <x:v>https://www.themoviedb.org/movie/1992</x:v>
      </x:c>
      <x:c r="S288" s="10" t="str">
        <x:v>Matched</x:v>
      </x:c>
    </x:row>
    <x:row r="289" ht="90" customHeight="1">
      <x:c r="A289" s="2" t="str">
        <x:v>Pokémon 3: The Movie - Spell of the Unown (2000)</x:v>
      </x:c>
      <x:c r="B289" s="2" t="str">
        <x:v>Pokémon 3: The Movie - Spell of the Unown</x:v>
      </x:c>
      <x:c r="C289" s="3" t="n">
        <x:v>2000</x:v>
      </x:c>
      <x:c r="D289" s="2" t="str">
        <x:v>Blu-ray</x:v>
      </x:c>
      <x:c r="E289" s="4"/>
      <x:c r="F289" s="3" t="n">
        <x:v>10991</x:v>
      </x:c>
      <x:c r="G289" s="5" t="n">
        <x:v>6.539</x:v>
      </x:c>
      <x:c r="H289" s="2" t="str">
        <x:v>Adventure, Fantasy, Animation, Action, Family</x:v>
      </x:c>
      <x:c r="I289" s="6" t="str">
        <x:v>/hrBWiMWnD7mheMx846ycUWA3ohs.jpg</x:v>
      </x:c>
      <x:c r="J289" s="7" t="str">
        <x:v>https://image.tmdb.org/t/p/w342/hrBWiMWnD7mheMx846ycUWA3ohs.jpg</x:v>
      </x:c>
      <x:c r="K289" s="3" t="e">
        <x:f>IMAGE(J289)</x:f>
      </x:c>
      <x:c r="L289" s="8" t="n">
        <x:v>73</x:v>
      </x:c>
      <x:c r="M289" s="46" t="str">
        <x:v>When the sadness of her father's disappearance gets to Molly Hale, she unknowingly uses the Unown to create her own dream world along with Entei, who she believes to be her father. When Entei kidnaps Ash's mother, Ash — alongside Misty and Brock — invade the mansion looking for his mom and trying to stop the mysteries of Molly's Dream World and Entei!</x:v>
      </x:c>
      <x:c r="N289" s="2" t="n">
        <x:v>36715</x:v>
      </x:c>
      <x:c r="O289" s="2" t="str">
        <x:v>Unwatched</x:v>
      </x:c>
      <x:c r="P289" s="9"/>
      <x:c r="Q289" s="6"/>
      <x:c r="R289" s="2" t="str">
        <x:v>https://www.themoviedb.org/movie/10991</x:v>
      </x:c>
      <x:c r="S289" s="10" t="str">
        <x:v>Matched</x:v>
      </x:c>
    </x:row>
    <x:row r="290" ht="90" customHeight="1">
      <x:c r="A290" s="2" t="str">
        <x:v>Pokémon: The First Movie - Mewtwo Strikes Back (1998)</x:v>
      </x:c>
      <x:c r="B290" s="2" t="str">
        <x:v>Pokémon: The First Movie - Mewtwo Strikes Back</x:v>
      </x:c>
      <x:c r="C290" s="3" t="n">
        <x:v>1998</x:v>
      </x:c>
      <x:c r="D290" s="2" t="str">
        <x:v>Blu-ray</x:v>
      </x:c>
      <x:c r="E290" s="4"/>
      <x:c r="F290" s="3" t="n">
        <x:v>10228</x:v>
      </x:c>
      <x:c r="G290" s="5" t="n">
        <x:v>6.956</x:v>
      </x:c>
      <x:c r="H290" s="2" t="str">
        <x:v>Animation, Family, Adventure, Fantasy, Action</x:v>
      </x:c>
      <x:c r="I290" s="6" t="str">
        <x:v>/6YPzBcMH0aPNTvdXNCDLY0zdE1g.jpg</x:v>
      </x:c>
      <x:c r="J290" s="7" t="str">
        <x:v>https://image.tmdb.org/t/p/w342/6YPzBcMH0aPNTvdXNCDLY0zdE1g.jpg</x:v>
      </x:c>
      <x:c r="K290" s="3" t="e">
        <x:f>IMAGE(J290)</x:f>
      </x:c>
      <x:c r="L290" s="8" t="n">
        <x:v>96</x:v>
      </x:c>
      <x:c r="M290" s="46" t="str">
        <x:v>Determined to prove its superiority, a bio-engineered Pokémon called Mewtwo lures Ash, Pikachu and others into a Pokemon match like none before.</x:v>
      </x:c>
      <x:c r="N290" s="2" t="n">
        <x:v>35994</x:v>
      </x:c>
      <x:c r="O290" s="2" t="str">
        <x:v>Unwatched</x:v>
      </x:c>
      <x:c r="P290" s="9"/>
      <x:c r="Q290" s="6"/>
      <x:c r="R290" s="2" t="str">
        <x:v>https://www.themoviedb.org/movie/10228</x:v>
      </x:c>
      <x:c r="S290" s="10" t="str">
        <x:v>Matched</x:v>
      </x:c>
    </x:row>
    <x:row r="291" ht="90" customHeight="1">
      <x:c r="A291" s="2" t="str">
        <x:v>Pokémon: The Movie 2000 - The Power of One (1999)</x:v>
      </x:c>
      <x:c r="B291" s="2" t="str">
        <x:v>Pokémon: The Movie 2000 - The Power of One</x:v>
      </x:c>
      <x:c r="C291" s="3" t="n">
        <x:v>1999</x:v>
      </x:c>
      <x:c r="D291" s="2" t="str">
        <x:v>Blu-ray</x:v>
      </x:c>
      <x:c r="E291" s="4"/>
      <x:c r="F291" s="3" t="n">
        <x:v>12599</x:v>
      </x:c>
      <x:c r="G291" s="5" t="n">
        <x:v>6.743</x:v>
      </x:c>
      <x:c r="H291" s="2" t="str">
        <x:v>Adventure, Fantasy, Animation, Science Fiction, Family</x:v>
      </x:c>
      <x:c r="I291" s="6" t="str">
        <x:v>/6u65C8aG4krAVyHsTjAMF7ucTDH.jpg</x:v>
      </x:c>
      <x:c r="J291" s="7" t="str">
        <x:v>https://image.tmdb.org/t/p/w342/6u65C8aG4krAVyHsTjAMF7ucTDH.jpg</x:v>
      </x:c>
      <x:c r="K291" s="3" t="e">
        <x:f>IMAGE(J291)</x:f>
      </x:c>
      <x:c r="L291" s="8" t="n">
        <x:v>84</x:v>
      </x:c>
      <x:c r="M291" s="46" t="str">
        <x:v>When Lawrence III's scheme to capture the Legendary Pokémon Lugia upsets the balance of nature, it is up to Ash Ketchum and his friends to save the world.</x:v>
      </x:c>
      <x:c r="N291" s="2" t="n">
        <x:v>36358</x:v>
      </x:c>
      <x:c r="O291" s="2" t="str">
        <x:v>Unwatched</x:v>
      </x:c>
      <x:c r="P291" s="9"/>
      <x:c r="Q291" s="6"/>
      <x:c r="R291" s="2" t="str">
        <x:v>https://www.themoviedb.org/movie/12599</x:v>
      </x:c>
      <x:c r="S291" s="10" t="str">
        <x:v>Matched</x:v>
      </x:c>
    </x:row>
    <x:row r="292" ht="90" customHeight="1">
      <x:c r="A292" s="2" t="str">
        <x:v>Poltergeist (1982)</x:v>
      </x:c>
      <x:c r="B292" s="2" t="str">
        <x:v>Poltergeist</x:v>
      </x:c>
      <x:c r="C292" s="3" t="n">
        <x:v>1982</x:v>
      </x:c>
      <x:c r="D292" s="2" t="str">
        <x:v>Blu-ray</x:v>
      </x:c>
      <x:c r="E292" s="4"/>
      <x:c r="F292" s="3" t="n">
        <x:v>609</x:v>
      </x:c>
      <x:c r="G292" s="5" t="n">
        <x:v>7.155</x:v>
      </x:c>
      <x:c r="H292" s="2" t="str">
        <x:v>Horror</x:v>
      </x:c>
      <x:c r="I292" s="6" t="str">
        <x:v>/m5AKo8iZAYulI87Uzxkn87vRY07.jpg</x:v>
      </x:c>
      <x:c r="J292" s="7" t="str">
        <x:v>https://image.tmdb.org/t/p/w342/m5AKo8iZAYulI87Uzxkn87vRY07.jpg</x:v>
      </x:c>
      <x:c r="K292" s="3" t="e">
        <x:f>IMAGE(J292)</x:f>
      </x:c>
      <x:c r="L292" s="8" t="n">
        <x:v>114</x:v>
      </x:c>
      <x:c r="M292" s="46" t="str">
        <x:v>The Freelings' suburban home becomes the center of paranormal activity that opens a portal to the 'other side'. With help, they must cross over to get their daughter back.</x:v>
      </x:c>
      <x:c r="N292" s="2" t="n">
        <x:v>30106</x:v>
      </x:c>
      <x:c r="O292" s="2" t="str">
        <x:v>Unwatched</x:v>
      </x:c>
      <x:c r="P292" s="9"/>
      <x:c r="Q292" s="6"/>
      <x:c r="R292" s="2" t="str">
        <x:v>https://www.themoviedb.org/movie/609</x:v>
      </x:c>
      <x:c r="S292" s="10" t="str">
        <x:v>Matched</x:v>
      </x:c>
    </x:row>
    <x:row r="293" ht="90" customHeight="1">
      <x:c r="A293" s="2" t="str">
        <x:v>Possessor (2019)</x:v>
      </x:c>
      <x:c r="B293" s="2" t="str">
        <x:v>Possessor</x:v>
      </x:c>
      <x:c r="C293" s="3" t="n">
        <x:v>2019</x:v>
      </x:c>
      <x:c r="D293" s="2" t="str">
        <x:v>Blu-ray</x:v>
      </x:c>
      <x:c r="E293" s="12"/>
      <x:c r="F293" s="7"/>
      <x:c r="G293" s="11"/>
      <x:c r="H293" s="7"/>
      <x:c r="I293" s="7"/>
      <x:c r="J293" s="7"/>
      <x:c r="K293" s="7"/>
      <x:c r="L293" s="13"/>
      <x:c r="M293" s="46"/>
      <x:c r="N293" s="2"/>
      <x:c r="O293" s="2" t="str">
        <x:v>Unwatched</x:v>
      </x:c>
      <x:c r="P293" s="9"/>
      <x:c r="Q293" s="7"/>
      <x:c r="R293" s="2"/>
      <x:c r="S293" s="10" t="str">
        <x:v>No TMDB match / check title-year</x:v>
      </x:c>
    </x:row>
    <x:row r="294" ht="90" customHeight="1">
      <x:c r="A294" s="2" t="str">
        <x:v>The Poughkeepsie Tapes (2007)</x:v>
      </x:c>
      <x:c r="B294" s="2" t="str">
        <x:v>The Poughkeepsie Tapes</x:v>
      </x:c>
      <x:c r="C294" s="3" t="n">
        <x:v>2007</x:v>
      </x:c>
      <x:c r="D294" s="2" t="str">
        <x:v>Blu-ray</x:v>
      </x:c>
      <x:c r="E294" s="4"/>
      <x:c r="F294" s="3" t="n">
        <x:v>38410</x:v>
      </x:c>
      <x:c r="G294" s="5" t="n">
        <x:v>6.543</x:v>
      </x:c>
      <x:c r="H294" s="2" t="str">
        <x:v>Horror, Mystery, Crime, Thriller</x:v>
      </x:c>
      <x:c r="I294" s="6" t="str">
        <x:v>/8ppkhu3pO3fnXr05YeE7ryKloVd.jpg</x:v>
      </x:c>
      <x:c r="J294" s="7" t="str">
        <x:v>https://image.tmdb.org/t/p/w342/8ppkhu3pO3fnXr05YeE7ryKloVd.jpg</x:v>
      </x:c>
      <x:c r="K294" s="3" t="e">
        <x:f>IMAGE(J294)</x:f>
      </x:c>
      <x:c r="L294" s="8" t="n">
        <x:v>81</x:v>
      </x:c>
      <x:c r="M294" s="46" t="str">
        <x:v>When hundreds of videotapes showing torture, murder and dismemberment are found in an abandoned house, they reveal a serial killer's decade-long reign of terror and become the most disturbing collection of evidence homicide detectives have ever seen.</x:v>
      </x:c>
      <x:c r="N294" s="2" t="n">
        <x:v>39199</x:v>
      </x:c>
      <x:c r="O294" s="2" t="str">
        <x:v>Unwatched</x:v>
      </x:c>
      <x:c r="P294" s="9"/>
      <x:c r="Q294" s="6"/>
      <x:c r="R294" s="2" t="str">
        <x:v>https://www.themoviedb.org/movie/38410</x:v>
      </x:c>
      <x:c r="S294" s="10" t="str">
        <x:v>Matched</x:v>
      </x:c>
    </x:row>
    <x:row r="295" ht="90" customHeight="1">
      <x:c r="A295" s="2" t="str">
        <x:v>Primer (2004)</x:v>
      </x:c>
      <x:c r="B295" s="2" t="str">
        <x:v>Primer</x:v>
      </x:c>
      <x:c r="C295" s="3" t="n">
        <x:v>2004</x:v>
      </x:c>
      <x:c r="D295" s="2" t="str">
        <x:v>Blu-ray</x:v>
      </x:c>
      <x:c r="E295" s="4"/>
      <x:c r="F295" s="3" t="n">
        <x:v>14337</x:v>
      </x:c>
      <x:c r="G295" s="5" t="n">
        <x:v>6.755</x:v>
      </x:c>
      <x:c r="H295" s="2" t="str">
        <x:v>Science Fiction, Drama, Thriller</x:v>
      </x:c>
      <x:c r="I295" s="6" t="str">
        <x:v>/xEoq2WmDzpzxhkHEsmOYOg6BPg6.jpg</x:v>
      </x:c>
      <x:c r="J295" s="7" t="str">
        <x:v>https://image.tmdb.org/t/p/w342/xEoq2WmDzpzxhkHEsmOYOg6BPg6.jpg</x:v>
      </x:c>
      <x:c r="K295" s="3" t="e">
        <x:f>IMAGE(J295)</x:f>
      </x:c>
      <x:c r="L295" s="8" t="n">
        <x:v>77</x:v>
      </x:c>
      <x:c r="M295" s="46" t="str">
        <x:v>A group of fledgling inventors discover a complex method to manipulate reality. At first, they successfully game the stock market with it, but the consequences of the invention start to catch up with them.</x:v>
      </x:c>
      <x:c r="N295" s="2" t="n">
        <x:v>38268</x:v>
      </x:c>
      <x:c r="O295" s="2" t="str">
        <x:v>Unwatched</x:v>
      </x:c>
      <x:c r="P295" s="9"/>
      <x:c r="Q295" s="6"/>
      <x:c r="R295" s="2" t="str">
        <x:v>https://www.themoviedb.org/movie/14337</x:v>
      </x:c>
      <x:c r="S295" s="10" t="str">
        <x:v>Matched</x:v>
      </x:c>
    </x:row>
    <x:row r="296" ht="90" customHeight="1">
      <x:c r="A296" s="2" t="str">
        <x:v>The Proposal (2009)</x:v>
      </x:c>
      <x:c r="B296" s="2" t="str">
        <x:v>The Proposal</x:v>
      </x:c>
      <x:c r="C296" s="3" t="n">
        <x:v>2009</x:v>
      </x:c>
      <x:c r="D296" s="2" t="str">
        <x:v>Blu-ray</x:v>
      </x:c>
      <x:c r="E296" s="4"/>
      <x:c r="F296" s="3" t="n">
        <x:v>18240</x:v>
      </x:c>
      <x:c r="G296" s="5" t="n">
        <x:v>7.2</x:v>
      </x:c>
      <x:c r="H296" s="2" t="str">
        <x:v>Comedy, Romance, Drama</x:v>
      </x:c>
      <x:c r="I296" s="6" t="str">
        <x:v>/6stnAm1wSek8ZrislwK4xGTyCnt.jpg</x:v>
      </x:c>
      <x:c r="J296" s="7" t="str">
        <x:v>https://image.tmdb.org/t/p/w342/6stnAm1wSek8ZrislwK4xGTyCnt.jpg</x:v>
      </x:c>
      <x:c r="K296" s="3" t="e">
        <x:f>IMAGE(J296)</x:f>
      </x:c>
      <x:c r="L296" s="8" t="n">
        <x:v>108</x:v>
      </x:c>
      <x:c r="M296" s="46" t="str">
        <x:v>When she learns she's in danger of losing her visa status and being deported, overbearing book editor Margaret Tate forces her put-upon assistant, Andrew Paxton, to marry her.</x:v>
      </x:c>
      <x:c r="N296" s="2" t="n">
        <x:v>39966</x:v>
      </x:c>
      <x:c r="O296" s="2" t="str">
        <x:v>Unwatched</x:v>
      </x:c>
      <x:c r="P296" s="9"/>
      <x:c r="Q296" s="6"/>
      <x:c r="R296" s="2" t="str">
        <x:v>https://www.themoviedb.org/movie/18240</x:v>
      </x:c>
      <x:c r="S296" s="10" t="str">
        <x:v>Matched</x:v>
      </x:c>
    </x:row>
    <x:row r="297" ht="90" customHeight="1">
      <x:c r="A297" s="2" t="str">
        <x:v>Pulse (2001)</x:v>
      </x:c>
      <x:c r="B297" s="2" t="str">
        <x:v>Pulse</x:v>
      </x:c>
      <x:c r="C297" s="3" t="n">
        <x:v>2001</x:v>
      </x:c>
      <x:c r="D297" s="2" t="str">
        <x:v>Blu-ray</x:v>
      </x:c>
      <x:c r="E297" s="4"/>
      <x:c r="F297" s="3" t="n">
        <x:v>27324</x:v>
      </x:c>
      <x:c r="G297" s="5" t="n">
        <x:v>6.7</x:v>
      </x:c>
      <x:c r="H297" s="2" t="str">
        <x:v>Horror, Thriller, Mystery</x:v>
      </x:c>
      <x:c r="I297" s="6" t="str">
        <x:v>/c3zEimDraIyMSasPMGDaNOrhnzn.jpg</x:v>
      </x:c>
      <x:c r="J297" s="7" t="str">
        <x:v>https://image.tmdb.org/t/p/w342/c3zEimDraIyMSasPMGDaNOrhnzn.jpg</x:v>
      </x:c>
      <x:c r="K297" s="3" t="e">
        <x:f>IMAGE(J297)</x:f>
      </x:c>
      <x:c r="L297" s="8" t="n">
        <x:v>119</x:v>
      </x:c>
      <x:c r="M297" s="46" t="str">
        <x:v>In the immense city of Tokyo, the darkness of the afterlife lures some of its inhabitants desperately trying to escape the sadness and isolation of the modern world.</x:v>
      </x:c>
      <x:c r="N297" s="2" t="n">
        <x:v>36925</x:v>
      </x:c>
      <x:c r="O297" s="2" t="str">
        <x:v>Unwatched</x:v>
      </x:c>
      <x:c r="P297" s="9"/>
      <x:c r="Q297" s="6"/>
      <x:c r="R297" s="2" t="str">
        <x:v>https://www.themoviedb.org/movie/27324</x:v>
      </x:c>
      <x:c r="S297" s="10" t="str">
        <x:v>Matched</x:v>
      </x:c>
    </x:row>
    <x:row r="298" ht="90" customHeight="1">
      <x:c r="A298" s="2" t="str">
        <x:v>The Purge (2013)</x:v>
      </x:c>
      <x:c r="B298" s="2" t="str">
        <x:v>The Purge</x:v>
      </x:c>
      <x:c r="C298" s="3" t="n">
        <x:v>2013</x:v>
      </x:c>
      <x:c r="D298" s="2" t="str">
        <x:v>Blu-ray</x:v>
      </x:c>
      <x:c r="E298" s="4"/>
      <x:c r="F298" s="3" t="n">
        <x:v>158015</x:v>
      </x:c>
      <x:c r="G298" s="5" t="n">
        <x:v>6.25</x:v>
      </x:c>
      <x:c r="H298" s="2" t="str">
        <x:v>Science Fiction, Horror, Thriller</x:v>
      </x:c>
      <x:c r="I298" s="6" t="str">
        <x:v>/46X1ei9uf13nkkr0OhWldGyr5Uh.jpg</x:v>
      </x:c>
      <x:c r="J298" s="7" t="str">
        <x:v>https://image.tmdb.org/t/p/w342/46X1ei9uf13nkkr0OhWldGyr5Uh.jpg</x:v>
      </x:c>
      <x:c r="K298" s="3" t="e">
        <x:f>IMAGE(J298)</x:f>
      </x:c>
      <x:c r="L298" s="8" t="n">
        <x:v>85</x:v>
      </x:c>
      <x:c r="M298" s="46" t="str">
        <x:v>Given the country's overcrowded prisons, the U.S. government begins to allow 12-hour periods of time in which all illegal activity is legal. During one of these free-for-alls, a family must protect themselves from a home invasion.</x:v>
      </x:c>
      <x:c r="N298" s="2" t="n">
        <x:v>41425</x:v>
      </x:c>
      <x:c r="O298" s="2" t="str">
        <x:v>Unwatched</x:v>
      </x:c>
      <x:c r="P298" s="9"/>
      <x:c r="Q298" s="6"/>
      <x:c r="R298" s="2" t="str">
        <x:v>https://www.themoviedb.org/movie/158015</x:v>
      </x:c>
      <x:c r="S298" s="10" t="str">
        <x:v>Matched</x:v>
      </x:c>
    </x:row>
    <x:row r="299" ht="90" customHeight="1">
      <x:c r="A299" s="2" t="str">
        <x:v>The Purge: Anarchy (2014)</x:v>
      </x:c>
      <x:c r="B299" s="2" t="str">
        <x:v>The Purge: Anarchy</x:v>
      </x:c>
      <x:c r="C299" s="3" t="n">
        <x:v>2014</x:v>
      </x:c>
      <x:c r="D299" s="2" t="str">
        <x:v>Blu-ray</x:v>
      </x:c>
      <x:c r="E299" s="4"/>
      <x:c r="F299" s="3" t="n">
        <x:v>238636</x:v>
      </x:c>
      <x:c r="G299" s="5" t="n">
        <x:v>6.627</x:v>
      </x:c>
      <x:c r="H299" s="2" t="str">
        <x:v>Horror, Thriller</x:v>
      </x:c>
      <x:c r="I299" s="6" t="str">
        <x:v>/qwqHHZLZSUvMkAMQ47ymtfjEifY.jpg</x:v>
      </x:c>
      <x:c r="J299" s="7" t="str">
        <x:v>https://image.tmdb.org/t/p/w342/qwqHHZLZSUvMkAMQ47ymtfjEifY.jpg</x:v>
      </x:c>
      <x:c r="K299" s="3" t="e">
        <x:f>IMAGE(J299)</x:f>
      </x:c>
      <x:c r="L299" s="8" t="n">
        <x:v>103</x:v>
      </x:c>
      <x:c r="M299" s="46" t="str">
        <x: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x:v>
      </x:c>
      <x:c r="N299" s="2" t="n">
        <x:v>41837</x:v>
      </x:c>
      <x:c r="O299" s="2" t="str">
        <x:v>Unwatched</x:v>
      </x:c>
      <x:c r="P299" s="9"/>
      <x:c r="Q299" s="6"/>
      <x:c r="R299" s="2" t="str">
        <x:v>https://www.themoviedb.org/movie/238636</x:v>
      </x:c>
      <x:c r="S299" s="10" t="str">
        <x:v>Matched</x:v>
      </x:c>
    </x:row>
    <x:row r="300" ht="90" customHeight="1">
      <x:c r="A300" s="2" t="str">
        <x:v>The Purge: Election Year (2016)</x:v>
      </x:c>
      <x:c r="B300" s="2" t="str">
        <x:v>The Purge: Election Year</x:v>
      </x:c>
      <x:c r="C300" s="3" t="n">
        <x:v>2016</x:v>
      </x:c>
      <x:c r="D300" s="2" t="str">
        <x:v>Blu-ray</x:v>
      </x:c>
      <x:c r="E300" s="4"/>
      <x:c r="F300" s="3" t="n">
        <x:v>316727</x:v>
      </x:c>
      <x:c r="G300" s="5" t="n">
        <x:v>6.381</x:v>
      </x:c>
      <x:c r="H300" s="2" t="str">
        <x:v>Action, Horror, Thriller</x:v>
      </x:c>
      <x:c r="I300" s="6" t="str">
        <x:v>/gg7tlp45xqGWMra0sqQVPvybje2.jpg</x:v>
      </x:c>
      <x:c r="J300" s="7" t="str">
        <x:v>https://image.tmdb.org/t/p/w342/gg7tlp45xqGWMra0sqQVPvybje2.jpg</x:v>
      </x:c>
      <x:c r="K300" s="3" t="e">
        <x:f>IMAGE(J300)</x:f>
      </x:c>
      <x:c r="L300" s="8" t="n">
        <x:v>109</x:v>
      </x:c>
      <x:c r="M300" s="46" t="str">
        <x: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x:v>
      </x:c>
      <x:c r="N300" s="2" t="n">
        <x:v>42550</x:v>
      </x:c>
      <x:c r="O300" s="2" t="str">
        <x:v>Unwatched</x:v>
      </x:c>
      <x:c r="P300" s="9"/>
      <x:c r="Q300" s="6"/>
      <x:c r="R300" s="2" t="str">
        <x:v>https://www.themoviedb.org/movie/316727</x:v>
      </x:c>
      <x:c r="S300" s="10" t="str">
        <x:v>Matched</x:v>
      </x:c>
    </x:row>
    <x:row r="301" ht="90" customHeight="1">
      <x:c r="A301" s="2" t="str">
        <x:v>Raw (2016)</x:v>
      </x:c>
      <x:c r="B301" s="2" t="str">
        <x:v>Raw</x:v>
      </x:c>
      <x:c r="C301" s="3" t="n">
        <x:v>2016</x:v>
      </x:c>
      <x:c r="D301" s="2" t="str">
        <x:v>Blu-ray</x:v>
      </x:c>
      <x:c r="E301" s="4"/>
      <x:c r="F301" s="3" t="n">
        <x:v>995725</x:v>
      </x:c>
      <x:c r="G301" s="11" t="n">
        <x:v>10</x:v>
      </x:c>
      <x:c r="H301" s="2"/>
      <x:c r="I301" s="6" t="str">
        <x:v>/uW1UUFIKoMHHR64K1aftnmc5eu9.jpg</x:v>
      </x:c>
      <x:c r="J301" s="7" t="str">
        <x:v>https://image.tmdb.org/t/p/w342/uW1UUFIKoMHHR64K1aftnmc5eu9.jpg</x:v>
      </x:c>
      <x:c r="K301" s="3" t="e">
        <x:f>IMAGE(J301)</x:f>
      </x:c>
      <x:c r="L301" s="8" t="n">
        <x:v>10</x:v>
      </x:c>
      <x:c r="M301" s="46" t="str">
        <x:v>Two comedy show hosts go above and beyond to please their viewers, including a live monkey, a bank robbery, and a greasy cooking segment.</x:v>
      </x:c>
      <x:c r="N301" s="2" t="n">
        <x:v>42567</x:v>
      </x:c>
      <x:c r="O301" s="2" t="str">
        <x:v>Unwatched</x:v>
      </x:c>
      <x:c r="P301" s="9"/>
      <x:c r="Q301" s="6"/>
      <x:c r="R301" s="2" t="str">
        <x:v>https://www.themoviedb.org/movie/995725</x:v>
      </x:c>
      <x:c r="S301" s="10" t="str">
        <x:v>Matched</x:v>
      </x:c>
    </x:row>
    <x:row r="302" ht="90" customHeight="1">
      <x:c r="A302" s="2" t="str">
        <x:v>Ready or Not (2019)</x:v>
      </x:c>
      <x:c r="B302" s="2" t="str">
        <x:v>Ready or Not</x:v>
      </x:c>
      <x:c r="C302" s="3" t="n">
        <x:v>2019</x:v>
      </x:c>
      <x:c r="D302" s="2" t="str">
        <x:v>Blu-ray</x:v>
      </x:c>
      <x:c r="E302" s="4"/>
      <x:c r="F302" s="3" t="n">
        <x:v>567609</x:v>
      </x:c>
      <x:c r="G302" s="5" t="n">
        <x:v>7.068</x:v>
      </x:c>
      <x:c r="H302" s="2" t="str">
        <x:v>Horror, Comedy</x:v>
      </x:c>
      <x:c r="I302" s="6" t="str">
        <x:v>/oJD9KQFoObZmxAS1je56SIFVNJt.jpg</x:v>
      </x:c>
      <x:c r="J302" s="7" t="str">
        <x:v>https://image.tmdb.org/t/p/w342/oJD9KQFoObZmxAS1je56SIFVNJt.jpg</x:v>
      </x:c>
      <x:c r="K302" s="3" t="e">
        <x:f>IMAGE(J302)</x:f>
      </x:c>
      <x:c r="L302" s="8" t="n">
        <x:v>96</x:v>
      </x:c>
      <x:c r="M302" s="46" t="str">
        <x:v>A young bride's wedding night turns into her worst nightmare when her ridiculously rich in-laws force her to play a gruesome game of hide-and-seek.</x:v>
      </x:c>
      <x:c r="N302" s="2" t="n">
        <x:v>43698</x:v>
      </x:c>
      <x:c r="O302" s="2" t="str">
        <x:v>Unwatched</x:v>
      </x:c>
      <x:c r="P302" s="9"/>
      <x:c r="Q302" s="6"/>
      <x:c r="R302" s="2" t="str">
        <x:v>https://www.themoviedb.org/movie/567609</x:v>
      </x:c>
      <x:c r="S302" s="10" t="str">
        <x:v>Matched</x:v>
      </x:c>
    </x:row>
    <x:row r="303" ht="90" customHeight="1">
      <x:c r="A303" s="2" t="str">
        <x:v>Ready Player One (2018)</x:v>
      </x:c>
      <x:c r="B303" s="2" t="str">
        <x:v>Ready Player One</x:v>
      </x:c>
      <x:c r="C303" s="3" t="n">
        <x:v>2018</x:v>
      </x:c>
      <x:c r="D303" s="2" t="str">
        <x:v>Blu-ray</x:v>
      </x:c>
      <x:c r="E303" s="4"/>
      <x:c r="F303" s="3" t="n">
        <x:v>333339</x:v>
      </x:c>
      <x:c r="G303" s="5" t="n">
        <x:v>7.586</x:v>
      </x:c>
      <x:c r="H303" s="2" t="str">
        <x:v>Adventure, Action, Science Fiction</x:v>
      </x:c>
      <x:c r="I303" s="6" t="str">
        <x:v>/pU1ULUq8D3iRxl1fdX2lZIzdHuI.jpg</x:v>
      </x:c>
      <x:c r="J303" s="7" t="str">
        <x:v>https://image.tmdb.org/t/p/w342/pU1ULUq8D3iRxl1fdX2lZIzdHuI.jpg</x:v>
      </x:c>
      <x:c r="K303" s="3" t="e">
        <x:f>IMAGE(J303)</x:f>
      </x:c>
      <x:c r="L303" s="8" t="n">
        <x:v>140</x:v>
      </x:c>
      <x:c r="M303" s="46" t="str">
        <x:v>When the creator of a popular video game system dies, a virtual contest is created to compete for his fortune.</x:v>
      </x:c>
      <x:c r="N303" s="2" t="n">
        <x:v>43187</x:v>
      </x:c>
      <x:c r="O303" s="2" t="str">
        <x:v>Unwatched</x:v>
      </x:c>
      <x:c r="P303" s="9"/>
      <x:c r="Q303" s="6"/>
      <x:c r="R303" s="2" t="str">
        <x:v>https://www.themoviedb.org/movie/333339</x:v>
      </x:c>
      <x:c r="S303" s="10" t="str">
        <x:v>Matched</x:v>
      </x:c>
    </x:row>
    <x:row r="304" ht="90" customHeight="1">
      <x:c r="A304" s="2" t="str">
        <x:v>Return to House on Haunted Hill (2007)</x:v>
      </x:c>
      <x:c r="B304" s="2" t="str">
        <x:v>Return to House on Haunted Hill</x:v>
      </x:c>
      <x:c r="C304" s="3" t="n">
        <x:v>2007</x:v>
      </x:c>
      <x:c r="D304" s="2" t="str">
        <x:v>Blu-ray</x:v>
      </x:c>
      <x:c r="E304" s="4"/>
      <x:c r="F304" s="3" t="n">
        <x:v>13564</x:v>
      </x:c>
      <x:c r="G304" s="5" t="n">
        <x:v>5.495</x:v>
      </x:c>
      <x:c r="H304" s="2" t="str">
        <x:v>Horror, Thriller</x:v>
      </x:c>
      <x:c r="I304" s="6" t="str">
        <x:v>/ipBiyifbFqY0ZduO3R9OPBjc2pH.jpg</x:v>
      </x:c>
      <x:c r="J304" s="7" t="str">
        <x:v>https://image.tmdb.org/t/p/w342/ipBiyifbFqY0ZduO3R9OPBjc2pH.jpg</x:v>
      </x:c>
      <x:c r="K304" s="3" t="e">
        <x:f>IMAGE(J304)</x:f>
      </x:c>
      <x:c r="L304" s="8" t="n">
        <x:v>81</x:v>
      </x:c>
      <x:c r="M304" s="46" t="str">
        <x:v>Eight years have passed since Sara Wolfe and Eddie Baker escaped the House on Haunted Hill. Now the kidnapped Ariel, Sara's sister, goes inside the house with a group of treasure hunters to find the statue of Baphomet, worth millions and believed to be the cause of the House's evil.</x:v>
      </x:c>
      <x:c r="N304" s="2" t="n">
        <x:v>39358</x:v>
      </x:c>
      <x:c r="O304" s="2" t="str">
        <x:v>Unwatched</x:v>
      </x:c>
      <x:c r="P304" s="9"/>
      <x:c r="Q304" s="6"/>
      <x:c r="R304" s="2" t="str">
        <x:v>https://www.themoviedb.org/movie/13564</x:v>
      </x:c>
      <x:c r="S304" s="10" t="str">
        <x:v>Matched</x:v>
      </x:c>
    </x:row>
    <x:row r="305" ht="90" customHeight="1">
      <x:c r="A305" s="2" t="str">
        <x:v>The Ring (2002)</x:v>
      </x:c>
      <x:c r="B305" s="2" t="str">
        <x:v>The Ring</x:v>
      </x:c>
      <x:c r="C305" s="3" t="n">
        <x:v>2002</x:v>
      </x:c>
      <x:c r="D305" s="2" t="str">
        <x:v>Blu-ray</x:v>
      </x:c>
      <x:c r="E305" s="4"/>
      <x:c r="F305" s="3" t="n">
        <x:v>565</x:v>
      </x:c>
      <x:c r="G305" s="5" t="n">
        <x:v>6.701</x:v>
      </x:c>
      <x:c r="H305" s="2" t="str">
        <x:v>Horror, Mystery</x:v>
      </x:c>
      <x:c r="I305" s="6" t="str">
        <x:v>/AeRpUynJKDpJveklBJipOYrVxCS.jpg</x:v>
      </x:c>
      <x:c r="J305" s="7" t="str">
        <x:v>https://image.tmdb.org/t/p/w342/AeRpUynJKDpJveklBJipOYrVxCS.jpg</x:v>
      </x:c>
      <x:c r="K305" s="3" t="e">
        <x:f>IMAGE(J305)</x:f>
      </x:c>
      <x:c r="L305" s="8" t="n">
        <x:v>115</x:v>
      </x:c>
      <x:c r="M305" s="46" t="str">
        <x:v>Journalist Rachel Keller investigates a strange videotape that may be behind the untimely deaths of four teenagers. There is an urban legend about this tape: the viewer will die seven days after watching it. Rachel tracks down the video... and watches it. Now she has just seven days to unravel the mystery of the Ring in order to save herself and her son.</x:v>
      </x:c>
      <x:c r="N305" s="2" t="n">
        <x:v>37547</x:v>
      </x:c>
      <x:c r="O305" s="2" t="str">
        <x:v>Unwatched</x:v>
      </x:c>
      <x:c r="P305" s="9"/>
      <x:c r="Q305" s="6"/>
      <x:c r="R305" s="2" t="str">
        <x:v>https://www.themoviedb.org/movie/565</x:v>
      </x:c>
      <x:c r="S305" s="10" t="str">
        <x:v>Matched</x:v>
      </x:c>
    </x:row>
    <x:row r="306" ht="90" customHeight="1">
      <x:c r="A306" s="2" t="str">
        <x:v>Ring (1998)</x:v>
      </x:c>
      <x:c r="B306" s="2" t="str">
        <x:v>Ring</x:v>
      </x:c>
      <x:c r="C306" s="3" t="n">
        <x:v>1998</x:v>
      </x:c>
      <x:c r="D306" s="2" t="str">
        <x:v>Blu-ray</x:v>
      </x:c>
      <x:c r="E306" s="4"/>
      <x:c r="F306" s="3" t="n">
        <x:v>2671</x:v>
      </x:c>
      <x:c r="G306" s="5" t="n">
        <x:v>7.1</x:v>
      </x:c>
      <x:c r="H306" s="2" t="str">
        <x:v>Horror, Thriller</x:v>
      </x:c>
      <x:c r="I306" s="6" t="str">
        <x:v>/1YINof6kN5yRdePEbcU5360ejoq.jpg</x:v>
      </x:c>
      <x:c r="J306" s="7" t="str">
        <x:v>https://image.tmdb.org/t/p/w342/1YINof6kN5yRdePEbcU5360ejoq.jpg</x:v>
      </x:c>
      <x:c r="K306" s="3" t="e">
        <x:f>IMAGE(J306)</x:f>
      </x:c>
      <x:c r="L306" s="8" t="n">
        <x:v>96</x:v>
      </x:c>
      <x:c r="M306" s="46" t="str">
        <x:v>A mysterious video has been linked to a number of deaths, and when an inquisitive journalist finds the tape and views it herself, she sets in motion a chain of events that puts her own life in danger.</x:v>
      </x:c>
      <x:c r="N306" s="2" t="n">
        <x:v>35826</x:v>
      </x:c>
      <x:c r="O306" s="2" t="str">
        <x:v>Unwatched</x:v>
      </x:c>
      <x:c r="P306" s="9"/>
      <x:c r="Q306" s="6"/>
      <x:c r="R306" s="2" t="str">
        <x:v>https://www.themoviedb.org/movie/2671</x:v>
      </x:c>
      <x:c r="S306" s="10" t="str">
        <x:v>Matched</x:v>
      </x:c>
    </x:row>
    <x:row r="307" ht="90" customHeight="1">
      <x:c r="A307" s="2" t="str">
        <x:v>The Ring Two (2005)</x:v>
      </x:c>
      <x:c r="B307" s="2" t="str">
        <x:v>The Ring Two</x:v>
      </x:c>
      <x:c r="C307" s="3" t="n">
        <x:v>2005</x:v>
      </x:c>
      <x:c r="D307" s="2" t="str">
        <x:v>Blu-ray</x:v>
      </x:c>
      <x:c r="E307" s="4"/>
      <x:c r="F307" s="3" t="n">
        <x:v>10320</x:v>
      </x:c>
      <x:c r="G307" s="5" t="n">
        <x:v>5.759</x:v>
      </x:c>
      <x:c r="H307" s="2" t="str">
        <x:v>Drama, Horror, Thriller</x:v>
      </x:c>
      <x:c r="I307" s="6" t="str">
        <x:v>/bHbz7z2pecTawhkqLpuC2m0qywe.jpg</x:v>
      </x:c>
      <x:c r="J307" s="7" t="str">
        <x:v>https://image.tmdb.org/t/p/w342/bHbz7z2pecTawhkqLpuC2m0qywe.jpg</x:v>
      </x:c>
      <x:c r="K307" s="3" t="e">
        <x:f>IMAGE(J307)</x:f>
      </x:c>
      <x:c r="L307" s="8" t="n">
        <x:v>109</x:v>
      </x:c>
      <x:c r="M307" s="46" t="str">
        <x:v>After the ordeal with Samara, Rachel and Aiden move to a rural town. But soon Rachel learns about the death of a girl in a similar fashion. To save Aiden, she must dig into Samara's past even further.</x:v>
      </x:c>
      <x:c r="N307" s="2" t="n">
        <x:v>38421</x:v>
      </x:c>
      <x:c r="O307" s="2" t="str">
        <x:v>Unwatched</x:v>
      </x:c>
      <x:c r="P307" s="9"/>
      <x:c r="Q307" s="6"/>
      <x:c r="R307" s="2" t="str">
        <x:v>https://www.themoviedb.org/movie/10320</x:v>
      </x:c>
      <x:c r="S307" s="10" t="str">
        <x:v>Matched</x:v>
      </x:c>
    </x:row>
    <x:row r="308" ht="90" customHeight="1">
      <x:c r="A308" s="2" t="str">
        <x:v>Rings (2017)</x:v>
      </x:c>
      <x:c r="B308" s="2" t="str">
        <x:v>Rings</x:v>
      </x:c>
      <x:c r="C308" s="3" t="n">
        <x:v>2017</x:v>
      </x:c>
      <x:c r="D308" s="2" t="str">
        <x:v>Blu-ray</x:v>
      </x:c>
      <x:c r="E308" s="4"/>
      <x:c r="F308" s="3" t="n">
        <x:v>14564</x:v>
      </x:c>
      <x:c r="G308" s="5" t="n">
        <x:v>5.022</x:v>
      </x:c>
      <x:c r="H308" s="2" t="str">
        <x:v>Horror</x:v>
      </x:c>
      <x:c r="I308" s="6" t="str">
        <x:v>/yp4CDOVpVmNwiPoZKQeFCpW8CFo.jpg</x:v>
      </x:c>
      <x:c r="J308" s="7" t="str">
        <x:v>https://image.tmdb.org/t/p/w342/yp4CDOVpVmNwiPoZKQeFCpW8CFo.jpg</x:v>
      </x:c>
      <x:c r="K308" s="3" t="e">
        <x:f>IMAGE(J308)</x:f>
      </x:c>
      <x:c r="L308" s="8" t="n">
        <x:v>102</x:v>
      </x:c>
      <x:c r="M308" s="46" t="str">
        <x:v>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x:v>
      </x:c>
      <x:c r="N308" s="2" t="n">
        <x:v>42767</x:v>
      </x:c>
      <x:c r="O308" s="2" t="str">
        <x:v>Unwatched</x:v>
      </x:c>
      <x:c r="P308" s="9"/>
      <x:c r="Q308" s="6"/>
      <x:c r="R308" s="2" t="str">
        <x:v>https://www.themoviedb.org/movie/14564</x:v>
      </x:c>
      <x:c r="S308" s="10" t="str">
        <x:v>Matched</x:v>
      </x:c>
    </x:row>
    <x:row r="309" ht="90" customHeight="1">
      <x:c r="A309" s="2" t="str">
        <x:v>Rise of the Planet of the Apes (2011)</x:v>
      </x:c>
      <x:c r="B309" s="2" t="str">
        <x:v>Rise of the Planet of the Apes</x:v>
      </x:c>
      <x:c r="C309" s="3" t="n">
        <x:v>2011</x:v>
      </x:c>
      <x:c r="D309" s="2" t="str">
        <x:v>Blu-ray, Blu-ray</x:v>
      </x:c>
      <x:c r="E309" s="4"/>
      <x:c r="F309" s="3" t="n">
        <x:v>61791</x:v>
      </x:c>
      <x:c r="G309" s="5" t="n">
        <x:v>7.3</x:v>
      </x:c>
      <x:c r="H309" s="2" t="str">
        <x:v>Thriller, Action, Drama, Science Fiction</x:v>
      </x:c>
      <x:c r="I309" s="6" t="str">
        <x:v>/oqA45qMyyo1TtrnVEBKxqmTPhbN.jpg</x:v>
      </x:c>
      <x:c r="J309" s="7" t="str">
        <x:v>https://image.tmdb.org/t/p/w342/oqA45qMyyo1TtrnVEBKxqmTPhbN.jpg</x:v>
      </x:c>
      <x:c r="K309" s="3" t="e">
        <x:f>IMAGE(J309)</x:f>
      </x:c>
      <x:c r="L309" s="8" t="n">
        <x:v>105</x:v>
      </x:c>
      <x:c r="M309" s="46" t="str">
        <x:v>A highly intelligent chimpanzee named Caesar has been living a peaceful suburban life ever since he was born. But when he gets taken to a cruel primate facility, Caesar decides to revolt against those who have harmed him.</x:v>
      </x:c>
      <x:c r="N309" s="2" t="n">
        <x:v>40758</x:v>
      </x:c>
      <x:c r="O309" s="2" t="str">
        <x:v>Unwatched</x:v>
      </x:c>
      <x:c r="P309" s="9"/>
      <x:c r="Q309" s="6"/>
      <x:c r="R309" s="2" t="str">
        <x:v>https://www.themoviedb.org/movie/61791</x:v>
      </x:c>
      <x:c r="S309" s="10" t="str">
        <x:v>Matched</x:v>
      </x:c>
    </x:row>
    <x:row r="310" ht="90" customHeight="1">
      <x:c r="A310" s="2" t="str">
        <x:v>RoboCop (1987)</x:v>
      </x:c>
      <x:c r="B310" s="2" t="str">
        <x:v>RoboCop</x:v>
      </x:c>
      <x:c r="C310" s="3" t="n">
        <x:v>1987</x:v>
      </x:c>
      <x:c r="D310" s="2" t="str">
        <x:v>Blu-ray</x:v>
      </x:c>
      <x:c r="E310" s="4"/>
      <x:c r="F310" s="3" t="n">
        <x:v>5548</x:v>
      </x:c>
      <x:c r="G310" s="5" t="n">
        <x:v>7.358</x:v>
      </x:c>
      <x:c r="H310" s="2" t="str">
        <x:v>Action, Thriller, Science Fiction</x:v>
      </x:c>
      <x:c r="I310" s="6" t="str">
        <x:v>/esmAU0fCO28FbS6bUBKLAzJrohZ.jpg</x:v>
      </x:c>
      <x:c r="J310" s="7" t="str">
        <x:v>https://image.tmdb.org/t/p/w342/esmAU0fCO28FbS6bUBKLAzJrohZ.jpg</x:v>
      </x:c>
      <x:c r="K310" s="3" t="e">
        <x:f>IMAGE(J310)</x:f>
      </x:c>
      <x:c r="L310" s="8" t="n">
        <x:v>102</x:v>
      </x:c>
      <x:c r="M310" s="46" t="str">
        <x: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x:v>
      </x:c>
      <x:c r="N310" s="2" t="n">
        <x:v>31975</x:v>
      </x:c>
      <x:c r="O310" s="2" t="str">
        <x:v>Unwatched</x:v>
      </x:c>
      <x:c r="P310" s="9"/>
      <x:c r="Q310" s="6"/>
      <x:c r="R310" s="2" t="str">
        <x:v>https://www.themoviedb.org/movie/5548</x:v>
      </x:c>
      <x:c r="S310" s="10" t="str">
        <x:v>Matched</x:v>
      </x:c>
    </x:row>
    <x:row r="311" ht="90" customHeight="1">
      <x:c r="A311" s="2" t="str">
        <x:v>The Sadness (2021)</x:v>
      </x:c>
      <x:c r="B311" s="2" t="str">
        <x:v>The Sadness</x:v>
      </x:c>
      <x:c r="C311" s="3" t="n">
        <x:v>2021</x:v>
      </x:c>
      <x:c r="D311" s="2" t="str">
        <x:v>Blu-ray</x:v>
      </x:c>
      <x:c r="E311" s="4"/>
      <x:c r="F311" s="3" t="n">
        <x:v>776797</x:v>
      </x:c>
      <x:c r="G311" s="5" t="n">
        <x:v>6.8</x:v>
      </x:c>
      <x:c r="H311" s="2" t="str">
        <x:v>Horror, Thriller</x:v>
      </x:c>
      <x:c r="I311" s="6" t="str">
        <x:v>/mi5lh2brPMzuWYddyUKuCtcnjt1.jpg</x:v>
      </x:c>
      <x:c r="J311" s="7" t="str">
        <x:v>https://image.tmdb.org/t/p/w342/mi5lh2brPMzuWYddyUKuCtcnjt1.jpg</x:v>
      </x:c>
      <x:c r="K311" s="3" t="e">
        <x:f>IMAGE(J311)</x:f>
      </x:c>
      <x:c r="L311" s="8" t="n">
        <x:v>100</x:v>
      </x:c>
      <x:c r="M311" s="46" t="str">
        <x:v>A young couple is pushed to the limits of sanity as they attempt to be reunited amid the chaos of a pandemic outbreak. The streets erupt into violence and depravity, as those infected are driven to enact the most cruel and ghastly things imaginable.</x:v>
      </x:c>
      <x:c r="N311" s="2" t="n">
        <x:v>44218</x:v>
      </x:c>
      <x:c r="O311" s="2" t="str">
        <x:v>Unwatched</x:v>
      </x:c>
      <x:c r="P311" s="9"/>
      <x:c r="Q311" s="6"/>
      <x:c r="R311" s="2" t="str">
        <x:v>https://www.themoviedb.org/movie/776797</x:v>
      </x:c>
      <x:c r="S311" s="10" t="str">
        <x:v>Matched</x:v>
      </x:c>
    </x:row>
    <x:row r="312" ht="90" customHeight="1">
      <x:c r="A312" s="2" t="str">
        <x:v>Saw (2004)</x:v>
      </x:c>
      <x:c r="B312" s="2" t="str">
        <x:v>Saw</x:v>
      </x:c>
      <x:c r="C312" s="3" t="n">
        <x:v>2004</x:v>
      </x:c>
      <x:c r="D312" s="2" t="str">
        <x:v>Blu-ray</x:v>
      </x:c>
      <x:c r="E312" s="4"/>
      <x:c r="F312" s="3" t="n">
        <x:v>176</x:v>
      </x:c>
      <x:c r="G312" s="5" t="n">
        <x:v>7.4</x:v>
      </x:c>
      <x:c r="H312" s="2" t="str">
        <x:v>Horror, Mystery, Crime</x:v>
      </x:c>
      <x:c r="I312" s="6" t="str">
        <x:v>/rLNSOudrayDBo1uqXjrhxcjODIC.jpg</x:v>
      </x:c>
      <x:c r="J312" s="7" t="str">
        <x:v>https://image.tmdb.org/t/p/w342/rLNSOudrayDBo1uqXjrhxcjODIC.jpg</x:v>
      </x:c>
      <x:c r="K312" s="3" t="e">
        <x:f>IMAGE(J312)</x:f>
      </x:c>
      <x:c r="L312" s="8" t="n">
        <x:v>103</x:v>
      </x:c>
      <x:c r="M312" s="46" t="str">
        <x:v>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x:v>
      </x:c>
      <x:c r="N312" s="2" t="n">
        <x:v>38261</x:v>
      </x:c>
      <x:c r="O312" s="2" t="str">
        <x:v>Unwatched</x:v>
      </x:c>
      <x:c r="P312" s="9"/>
      <x:c r="Q312" s="6"/>
      <x:c r="R312" s="2" t="str">
        <x:v>https://www.themoviedb.org/movie/176</x:v>
      </x:c>
      <x:c r="S312" s="10" t="str">
        <x:v>Matched</x:v>
      </x:c>
    </x:row>
    <x:row r="313" ht="90" customHeight="1">
      <x:c r="A313" s="2" t="str">
        <x:v>Saw II (2005)</x:v>
      </x:c>
      <x:c r="B313" s="2" t="str">
        <x:v>Saw II</x:v>
      </x:c>
      <x:c r="C313" s="3" t="n">
        <x:v>2005</x:v>
      </x:c>
      <x:c r="D313" s="2" t="str">
        <x:v>Blu-ray</x:v>
      </x:c>
      <x:c r="E313" s="4"/>
      <x:c r="F313" s="3" t="n">
        <x:v>215</x:v>
      </x:c>
      <x:c r="G313" s="5" t="n">
        <x:v>6.6</x:v>
      </x:c>
      <x:c r="H313" s="2" t="str">
        <x:v>Horror</x:v>
      </x:c>
      <x:c r="I313" s="6" t="str">
        <x:v>/gTnaTysN8HsvVQqTRUh8m35mmUA.jpg</x:v>
      </x:c>
      <x:c r="J313" s="7" t="str">
        <x:v>https://image.tmdb.org/t/p/w342/gTnaTysN8HsvVQqTRUh8m35mmUA.jpg</x:v>
      </x:c>
      <x:c r="K313" s="3" t="e">
        <x:f>IMAGE(J313)</x:f>
      </x:c>
      <x:c r="L313" s="8" t="n">
        <x:v>93</x:v>
      </x:c>
      <x:c r="M313" s="46" t="str">
        <x:v>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x:v>
      </x:c>
      <x:c r="N313" s="2" t="n">
        <x:v>38653</x:v>
      </x:c>
      <x:c r="O313" s="2" t="str">
        <x:v>Unwatched</x:v>
      </x:c>
      <x:c r="P313" s="9"/>
      <x:c r="Q313" s="6"/>
      <x:c r="R313" s="2" t="str">
        <x:v>https://www.themoviedb.org/movie/215</x:v>
      </x:c>
      <x:c r="S313" s="10" t="str">
        <x:v>Matched</x:v>
      </x:c>
    </x:row>
    <x:row r="314" ht="90" customHeight="1">
      <x:c r="A314" s="2" t="str">
        <x:v>Saw III (2006)</x:v>
      </x:c>
      <x:c r="B314" s="2" t="str">
        <x:v>Saw III</x:v>
      </x:c>
      <x:c r="C314" s="3" t="n">
        <x:v>2006</x:v>
      </x:c>
      <x:c r="D314" s="2" t="str">
        <x:v>Blu-ray</x:v>
      </x:c>
      <x:c r="E314" s="4"/>
      <x:c r="F314" s="3" t="n">
        <x:v>214</x:v>
      </x:c>
      <x:c r="G314" s="5" t="n">
        <x:v>6.416</x:v>
      </x:c>
      <x:c r="H314" s="2" t="str">
        <x:v>Horror, Thriller, Crime</x:v>
      </x:c>
      <x:c r="I314" s="6" t="str">
        <x:v>/4iO9n24Rb10peXV0JH2EldIOrAp.jpg</x:v>
      </x:c>
      <x:c r="J314" s="7" t="str">
        <x:v>https://image.tmdb.org/t/p/w342/4iO9n24Rb10peXV0JH2EldIOrAp.jpg</x:v>
      </x:c>
      <x:c r="K314" s="3" t="e">
        <x:f>IMAGE(J314)</x:f>
      </x:c>
      <x:c r="L314" s="8" t="n">
        <x:v>108</x:v>
      </x:c>
      <x:c r="M314" s="46" t="str">
        <x:v>Jigsaw has disappeared. Along with his new apprentice Amanda, the puppet-master behind the cruel, intricate games that have terrified a community and baffled police has once again eluded capture and vanished. While city detectives scramble to locate him, Doctor Lynn Denlon and Jeff Reinhart are unaware that they are about to become the latest pawns on his vicious chessboard.</x:v>
      </x:c>
      <x:c r="N314" s="2" t="n">
        <x:v>39016</x:v>
      </x:c>
      <x:c r="O314" s="2" t="str">
        <x:v>Unwatched</x:v>
      </x:c>
      <x:c r="P314" s="9"/>
      <x:c r="Q314" s="6"/>
      <x:c r="R314" s="2" t="str">
        <x:v>https://www.themoviedb.org/movie/214</x:v>
      </x:c>
      <x:c r="S314" s="10" t="str">
        <x:v>Matched</x:v>
      </x:c>
    </x:row>
    <x:row r="315" ht="90" customHeight="1">
      <x:c r="A315" s="2" t="str">
        <x:v>Saw IV (2007)</x:v>
      </x:c>
      <x:c r="B315" s="2" t="str">
        <x:v>Saw IV</x:v>
      </x:c>
      <x:c r="C315" s="3" t="n">
        <x:v>2007</x:v>
      </x:c>
      <x:c r="D315" s="2" t="str">
        <x:v>Blu-ray</x:v>
      </x:c>
      <x:c r="E315" s="4"/>
      <x:c r="F315" s="3" t="n">
        <x:v>663</x:v>
      </x:c>
      <x:c r="G315" s="5" t="n">
        <x:v>6.165</x:v>
      </x:c>
      <x:c r="H315" s="2" t="str">
        <x:v>Horror, Thriller, Crime</x:v>
      </x:c>
      <x:c r="I315" s="6" t="str">
        <x:v>/ku1QdCXOU4ckz3zxLLlis8MIJVm.jpg</x:v>
      </x:c>
      <x:c r="J315" s="7" t="str">
        <x:v>https://image.tmdb.org/t/p/w342/ku1QdCXOU4ckz3zxLLlis8MIJVm.jpg</x:v>
      </x:c>
      <x:c r="K315" s="3" t="e">
        <x:f>IMAGE(J315)</x:f>
      </x:c>
      <x:c r="L315" s="8" t="n">
        <x:v>93</x:v>
      </x:c>
      <x:c r="M315" s="46" t="str">
        <x:v>Despite Jigsaw's death, and in order to save the lives of two of his colleagues, Lieutenant Rigg is forced to take part in a new game, which promises to test him to the limit.</x:v>
      </x:c>
      <x:c r="N315" s="2" t="n">
        <x:v>39380</x:v>
      </x:c>
      <x:c r="O315" s="2" t="str">
        <x:v>Unwatched</x:v>
      </x:c>
      <x:c r="P315" s="9"/>
      <x:c r="Q315" s="6"/>
      <x:c r="R315" s="2" t="str">
        <x:v>https://www.themoviedb.org/movie/663</x:v>
      </x:c>
      <x:c r="S315" s="10" t="str">
        <x:v>Matched</x:v>
      </x:c>
    </x:row>
    <x:row r="316" ht="90" customHeight="1">
      <x:c r="A316" s="2" t="str">
        <x:v>Saw V (2008)</x:v>
      </x:c>
      <x:c r="B316" s="2" t="str">
        <x:v>Saw V</x:v>
      </x:c>
      <x:c r="C316" s="3" t="n">
        <x:v>2008</x:v>
      </x:c>
      <x:c r="D316" s="2" t="str">
        <x:v>Blu-ray</x:v>
      </x:c>
      <x:c r="E316" s="4"/>
      <x:c r="F316" s="3" t="n">
        <x:v>11917</x:v>
      </x:c>
      <x:c r="G316" s="5" t="n">
        <x:v>6.173</x:v>
      </x:c>
      <x:c r="H316" s="2" t="str">
        <x:v>Horror, Thriller, Crime</x:v>
      </x:c>
      <x:c r="I316" s="6" t="str">
        <x:v>/rKl79KqLXg60KFyKsLe4wSSjQ08.jpg</x:v>
      </x:c>
      <x:c r="J316" s="7" t="str">
        <x:v>https://image.tmdb.org/t/p/w342/rKl79KqLXg60KFyKsLe4wSSjQ08.jpg</x:v>
      </x:c>
      <x:c r="K316" s="3" t="e">
        <x:f>IMAGE(J316)</x:f>
      </x:c>
      <x:c r="L316" s="8" t="n">
        <x:v>95</x:v>
      </x:c>
      <x:c r="M316" s="46" t="str">
        <x:v>Following Jigsaw's grisly demise, Detective Mark Hoffman is commended as a hero, but Agent Strahm is suspicious, and delves into Hoffman's past. Meanwhile, another group of people are put through a series of gruesome tests.</x:v>
      </x:c>
      <x:c r="N316" s="2" t="n">
        <x:v>39744</x:v>
      </x:c>
      <x:c r="O316" s="2" t="str">
        <x:v>Unwatched</x:v>
      </x:c>
      <x:c r="P316" s="9"/>
      <x:c r="Q316" s="6"/>
      <x:c r="R316" s="2" t="str">
        <x:v>https://www.themoviedb.org/movie/11917</x:v>
      </x:c>
      <x:c r="S316" s="10" t="str">
        <x:v>Matched</x:v>
      </x:c>
    </x:row>
    <x:row r="317" ht="90" customHeight="1">
      <x:c r="A317" s="2" t="str">
        <x:v>Saw VI (2009)</x:v>
      </x:c>
      <x:c r="B317" s="2" t="str">
        <x:v>Saw VI</x:v>
      </x:c>
      <x:c r="C317" s="3" t="n">
        <x:v>2009</x:v>
      </x:c>
      <x:c r="D317" s="2" t="str">
        <x:v>Blu-ray</x:v>
      </x:c>
      <x:c r="E317" s="4"/>
      <x:c r="F317" s="3" t="n">
        <x:v>22804</x:v>
      </x:c>
      <x:c r="G317" s="5" t="n">
        <x:v>6.29</x:v>
      </x:c>
      <x:c r="H317" s="2" t="str">
        <x:v>Horror, Thriller</x:v>
      </x:c>
      <x:c r="I317" s="6" t="str">
        <x:v>/9JtluosCbioSXJSABZByaODyPpa.jpg</x:v>
      </x:c>
      <x:c r="J317" s="7" t="str">
        <x:v>https://image.tmdb.org/t/p/w342/9JtluosCbioSXJSABZByaODyPpa.jpg</x:v>
      </x:c>
      <x:c r="K317" s="3" t="e">
        <x:f>IMAGE(J317)</x:f>
      </x:c>
      <x:c r="L317" s="8" t="n">
        <x:v>90</x:v>
      </x:c>
      <x:c r="M317" s="46" t="str">
        <x:v>Special Agent Strahm is dead, and Detective Hoffman has emerged as the unchallenged successor to Jigsaw's legacy. However, when the FBI draws closer to Hoffman, he is forced to set a game into motion, and Jigsaw's grand scheme is finally understood.</x:v>
      </x:c>
      <x:c r="N317" s="2" t="n">
        <x:v>40108</x:v>
      </x:c>
      <x:c r="O317" s="2" t="str">
        <x:v>Unwatched</x:v>
      </x:c>
      <x:c r="P317" s="9"/>
      <x:c r="Q317" s="6"/>
      <x:c r="R317" s="2" t="str">
        <x:v>https://www.themoviedb.org/movie/22804</x:v>
      </x:c>
      <x:c r="S317" s="10" t="str">
        <x:v>Matched</x:v>
      </x:c>
    </x:row>
    <x:row r="318" ht="90" customHeight="1">
      <x:c r="A318" s="2" t="str">
        <x:v>Saw: The Final Chapter (2010)</x:v>
      </x:c>
      <x:c r="B318" s="2" t="str">
        <x:v>Saw: The Final Chapter</x:v>
      </x:c>
      <x:c r="C318" s="3" t="n">
        <x:v>2010</x:v>
      </x:c>
      <x:c r="D318" s="2" t="str">
        <x:v>Blu-ray</x:v>
      </x:c>
      <x:c r="E318" s="4"/>
      <x:c r="F318" s="3" t="n">
        <x:v>41439</x:v>
      </x:c>
      <x:c r="G318" s="5" t="n">
        <x:v>6</x:v>
      </x:c>
      <x:c r="H318" s="2" t="str">
        <x:v>Horror, Crime</x:v>
      </x:c>
      <x:c r="I318" s="6" t="str">
        <x:v>/qHCZ6LjtmqWDfXXN28TlIC9OppK.jpg</x:v>
      </x:c>
      <x:c r="J318" s="7" t="str">
        <x:v>https://image.tmdb.org/t/p/w342/qHCZ6LjtmqWDfXXN28TlIC9OppK.jpg</x:v>
      </x:c>
      <x:c r="K318" s="3" t="e">
        <x:f>IMAGE(J318)</x:f>
      </x:c>
      <x:c r="L318" s="8" t="n">
        <x:v>90</x:v>
      </x:c>
      <x:c r="M318" s="46" t="str">
        <x:v>As a deadly battle rages over Jigsaw's brutal legacy, a group of Jigsaw survivors gathers to seek the support of self-help guru and fellow survivor Bobby Dagen, a man whose own dark secrets unleash a new wave of terror.</x:v>
      </x:c>
      <x:c r="N318" s="2" t="n">
        <x:v>40473</x:v>
      </x:c>
      <x:c r="O318" s="2" t="str">
        <x:v>Unwatched</x:v>
      </x:c>
      <x:c r="P318" s="9"/>
      <x:c r="Q318" s="6"/>
      <x:c r="R318" s="2" t="str">
        <x:v>https://www.themoviedb.org/movie/41439</x:v>
      </x:c>
      <x:c r="S318" s="10" t="str">
        <x:v>Matched</x:v>
      </x:c>
    </x:row>
    <x:row r="319" ht="90" customHeight="1">
      <x:c r="A319" s="2" t="str">
        <x:v>Scary Movie (2000)</x:v>
      </x:c>
      <x:c r="B319" s="2" t="str">
        <x:v>Scary Movie</x:v>
      </x:c>
      <x:c r="C319" s="3" t="n">
        <x:v>2000</x:v>
      </x:c>
      <x:c r="D319" s="2" t="str">
        <x:v>Blu-ray</x:v>
      </x:c>
      <x:c r="E319" s="4"/>
      <x:c r="F319" s="3" t="n">
        <x:v>4247</x:v>
      </x:c>
      <x:c r="G319" s="5" t="n">
        <x:v>6.394</x:v>
      </x:c>
      <x:c r="H319" s="2" t="str">
        <x:v>Comedy</x:v>
      </x:c>
      <x:c r="I319" s="6" t="str">
        <x:v>/fVQFPRuw3yWXojYDJvA5EoFjUOY.jpg</x:v>
      </x:c>
      <x:c r="J319" s="7" t="str">
        <x:v>https://image.tmdb.org/t/p/w342/fVQFPRuw3yWXojYDJvA5EoFjUOY.jpg</x:v>
      </x:c>
      <x:c r="K319" s="3" t="e">
        <x:f>IMAGE(J319)</x:f>
      </x:c>
      <x:c r="L319" s="8" t="n">
        <x:v>88</x:v>
      </x:c>
      <x:c r="M319" s="46" t="str">
        <x:v>A familiar-looking group of teenagers find themselves being stalked by a more-than-vaguely recognizable masked killer! As the victims begin to pile up and the laughs pile on, none of your favorite scary movies escape the razor-sharp satire of this outrageously funny parody!</x:v>
      </x:c>
      <x:c r="N319" s="2" t="n">
        <x:v>36714</x:v>
      </x:c>
      <x:c r="O319" s="2" t="str">
        <x:v>Unwatched</x:v>
      </x:c>
      <x:c r="P319" s="9"/>
      <x:c r="Q319" s="6"/>
      <x:c r="R319" s="2" t="str">
        <x:v>https://www.themoviedb.org/movie/4247</x:v>
      </x:c>
      <x:c r="S319" s="10" t="str">
        <x:v>Matched</x:v>
      </x:c>
    </x:row>
    <x:row r="320" ht="90" customHeight="1">
      <x:c r="A320" s="2" t="str">
        <x:v>Scary Movie 2 (2001)</x:v>
      </x:c>
      <x:c r="B320" s="2" t="str">
        <x:v>Scary Movie 2</x:v>
      </x:c>
      <x:c r="C320" s="3" t="n">
        <x:v>2001</x:v>
      </x:c>
      <x:c r="D320" s="2" t="str">
        <x:v>Blu-ray</x:v>
      </x:c>
      <x:c r="E320" s="4"/>
      <x:c r="F320" s="3" t="n">
        <x:v>4248</x:v>
      </x:c>
      <x:c r="G320" s="5" t="n">
        <x:v>5.8</x:v>
      </x:c>
      <x:c r="H320" s="2" t="str">
        <x:v>Comedy</x:v>
      </x:c>
      <x:c r="I320" s="6" t="str">
        <x:v>/7Eb1JWK0Cb0rbfsYjwfc9g0PbQH.jpg</x:v>
      </x:c>
      <x:c r="J320" s="7" t="str">
        <x:v>https://image.tmdb.org/t/p/w342/7Eb1JWK0Cb0rbfsYjwfc9g0PbQH.jpg</x:v>
      </x:c>
      <x:c r="K320" s="3" t="e">
        <x:f>IMAGE(J320)</x:f>
      </x:c>
      <x:c r="L320" s="8" t="n">
        <x:v>82</x:v>
      </x:c>
      <x:c r="M320" s="46" t="str">
        <x:v>While the original parodied slasher flicks like Scream, Keenen Ivory Wayans's sequel to Scary Movie takes comedic aim at haunted house movies. A group of students visit a mansion called "Hell House," and murderous high jinks ensue.</x:v>
      </x:c>
      <x:c r="N320" s="2" t="n">
        <x:v>37076</x:v>
      </x:c>
      <x:c r="O320" s="2" t="str">
        <x:v>Unwatched</x:v>
      </x:c>
      <x:c r="P320" s="9"/>
      <x:c r="Q320" s="6"/>
      <x:c r="R320" s="2" t="str">
        <x:v>https://www.themoviedb.org/movie/4248</x:v>
      </x:c>
      <x:c r="S320" s="10" t="str">
        <x:v>Matched</x:v>
      </x:c>
    </x:row>
    <x:row r="321" ht="90" customHeight="1">
      <x:c r="A321" s="2" t="str">
        <x:v>Scary Movie 3 (2003)</x:v>
      </x:c>
      <x:c r="B321" s="2" t="str">
        <x:v>Scary Movie 3</x:v>
      </x:c>
      <x:c r="C321" s="3" t="n">
        <x:v>2003</x:v>
      </x:c>
      <x:c r="D321" s="2" t="str">
        <x:v>Blu-ray</x:v>
      </x:c>
      <x:c r="E321" s="4"/>
      <x:c r="F321" s="3" t="n">
        <x:v>4256</x:v>
      </x:c>
      <x:c r="G321" s="5" t="n">
        <x:v>5.964</x:v>
      </x:c>
      <x:c r="H321" s="2" t="str">
        <x:v>Comedy</x:v>
      </x:c>
      <x:c r="I321" s="6" t="str">
        <x:v>/lpNG1nx67rvYze1b1R9q0YoSzrC.jpg</x:v>
      </x:c>
      <x:c r="J321" s="7" t="str">
        <x:v>https://image.tmdb.org/t/p/w342/lpNG1nx67rvYze1b1R9q0YoSzrC.jpg</x:v>
      </x:c>
      <x:c r="K321" s="3" t="e">
        <x:f>IMAGE(J321)</x:f>
      </x:c>
      <x:c r="L321" s="8" t="n">
        <x:v>84</x:v>
      </x:c>
      <x:c r="M321" s="46" t="str">
        <x:v>In the third installment of the Scary Movie franchise, news anchorwoman Cindy Campbell has to investigate mysterious crop circles and killing video tapes, and help the President stop an alien invasion in the process.</x:v>
      </x:c>
      <x:c r="N321" s="2" t="n">
        <x:v>37918</x:v>
      </x:c>
      <x:c r="O321" s="2" t="str">
        <x:v>Unwatched</x:v>
      </x:c>
      <x:c r="P321" s="9"/>
      <x:c r="Q321" s="6"/>
      <x:c r="R321" s="2" t="str">
        <x:v>https://www.themoviedb.org/movie/4256</x:v>
      </x:c>
      <x:c r="S321" s="10" t="str">
        <x:v>Matched</x:v>
      </x:c>
    </x:row>
    <x:row r="322" ht="90" customHeight="1">
      <x:c r="A322" s="2" t="str">
        <x:v>Scream (1996)</x:v>
      </x:c>
      <x:c r="B322" s="2" t="str">
        <x:v>Scream</x:v>
      </x:c>
      <x:c r="C322" s="3" t="n">
        <x:v>1996</x:v>
      </x:c>
      <x:c r="D322" s="2" t="str">
        <x:v>Blu-ray</x:v>
      </x:c>
      <x:c r="E322" s="4"/>
      <x:c r="F322" s="3" t="n">
        <x:v>4232</x:v>
      </x:c>
      <x:c r="G322" s="5" t="n">
        <x:v>7.43</x:v>
      </x:c>
      <x:c r="H322" s="2" t="str">
        <x:v>Crime, Horror, Mystery</x:v>
      </x:c>
      <x:c r="I322" s="6" t="str">
        <x:v>/lr9ZIrmuwVmZhpZuTCW8D9g0ZJe.jpg</x:v>
      </x:c>
      <x:c r="J322" s="7" t="str">
        <x:v>https://image.tmdb.org/t/p/w342/lr9ZIrmuwVmZhpZuTCW8D9g0ZJe.jpg</x:v>
      </x:c>
      <x:c r="K322" s="3" t="e">
        <x:f>IMAGE(J322)</x:f>
      </x:c>
      <x:c r="L322" s="8" t="n">
        <x:v>112</x:v>
      </x:c>
      <x:c r="M322" s="46" t="str">
        <x:v>A year after the murder of her mother, a teenage girl is terrorized by a masked killer who targets her and her friends by using scary movies as part of a deadly game.</x:v>
      </x:c>
      <x:c r="N322" s="2" t="n">
        <x:v>35419</x:v>
      </x:c>
      <x:c r="O322" s="2" t="str">
        <x:v>Unwatched</x:v>
      </x:c>
      <x:c r="P322" s="9"/>
      <x:c r="Q322" s="6"/>
      <x:c r="R322" s="2" t="str">
        <x:v>https://www.themoviedb.org/movie/4232</x:v>
      </x:c>
      <x:c r="S322" s="10" t="str">
        <x:v>Matched</x:v>
      </x:c>
    </x:row>
    <x:row r="323" ht="90" customHeight="1">
      <x:c r="A323" s="2" t="str">
        <x:v>Scream 2 (1997)</x:v>
      </x:c>
      <x:c r="B323" s="2" t="str">
        <x:v>Scream 2</x:v>
      </x:c>
      <x:c r="C323" s="3" t="n">
        <x:v>1997</x:v>
      </x:c>
      <x:c r="D323" s="2" t="str">
        <x:v>Blu-ray</x:v>
      </x:c>
      <x:c r="E323" s="4"/>
      <x:c r="F323" s="3" t="n">
        <x:v>4233</x:v>
      </x:c>
      <x:c r="G323" s="5" t="n">
        <x:v>6.517</x:v>
      </x:c>
      <x:c r="H323" s="2" t="str">
        <x:v>Horror, Mystery</x:v>
      </x:c>
      <x:c r="I323" s="6" t="str">
        <x:v>/dORlVasiaDkJXTqt9bdH7nFNs6C.jpg</x:v>
      </x:c>
      <x:c r="J323" s="7" t="str">
        <x:v>https://image.tmdb.org/t/p/w342/dORlVasiaDkJXTqt9bdH7nFNs6C.jpg</x:v>
      </x:c>
      <x:c r="K323" s="3" t="e">
        <x:f>IMAGE(J323)</x:f>
      </x:c>
      <x:c r="L323" s="8" t="n">
        <x:v>120</x:v>
      </x:c>
      <x:c r="M323" s="46" t="str">
        <x:v>Two years after the Woodsboro murders, Sidney Prescott acclimates to college life while someone donning the Ghostface costume begins a new string of killings.</x:v>
      </x:c>
      <x:c r="N323" s="2" t="n">
        <x:v>35776</x:v>
      </x:c>
      <x:c r="O323" s="2" t="str">
        <x:v>Unwatched</x:v>
      </x:c>
      <x:c r="P323" s="9"/>
      <x:c r="Q323" s="6"/>
      <x:c r="R323" s="2" t="str">
        <x:v>https://www.themoviedb.org/movie/4233</x:v>
      </x:c>
      <x:c r="S323" s="10" t="str">
        <x:v>Matched</x:v>
      </x:c>
    </x:row>
    <x:row r="324" ht="90" customHeight="1">
      <x:c r="A324" s="2" t="str">
        <x:v>Scream 3 (2000)</x:v>
      </x:c>
      <x:c r="B324" s="2" t="str">
        <x:v>Scream 3</x:v>
      </x:c>
      <x:c r="C324" s="3" t="n">
        <x:v>2000</x:v>
      </x:c>
      <x:c r="D324" s="2" t="str">
        <x:v>Blu-ray</x:v>
      </x:c>
      <x:c r="E324" s="4"/>
      <x:c r="F324" s="3" t="n">
        <x:v>4234</x:v>
      </x:c>
      <x:c r="G324" s="5" t="n">
        <x:v>6.011</x:v>
      </x:c>
      <x:c r="H324" s="2" t="str">
        <x:v>Horror, Mystery</x:v>
      </x:c>
      <x:c r="I324" s="6" t="str">
        <x:v>/qpH8ToZVlFD1bakL04LkEKodyDI.jpg</x:v>
      </x:c>
      <x:c r="J324" s="7" t="str">
        <x:v>https://image.tmdb.org/t/p/w342/qpH8ToZVlFD1bakL04LkEKodyDI.jpg</x:v>
      </x:c>
      <x:c r="K324" s="3" t="e">
        <x:f>IMAGE(J324)</x:f>
      </x:c>
      <x:c r="L324" s="8" t="n">
        <x:v>116</x:v>
      </x:c>
      <x:c r="M324" s="46" t="str">
        <x:v>As bodies begin dropping around the Hollywood set of STAB 3, the third film based on the gruesome Woodsboro killings, Sidney and other survivors are once again terrorized by another Ghostface killer.</x:v>
      </x:c>
      <x:c r="N324" s="2" t="n">
        <x:v>36560</x:v>
      </x:c>
      <x:c r="O324" s="2" t="str">
        <x:v>Unwatched</x:v>
      </x:c>
      <x:c r="P324" s="9"/>
      <x:c r="Q324" s="6"/>
      <x:c r="R324" s="2" t="str">
        <x:v>https://www.themoviedb.org/movie/4234</x:v>
      </x:c>
      <x:c r="S324" s="10" t="str">
        <x:v>Matched</x:v>
      </x:c>
    </x:row>
    <x:row r="325" ht="90" customHeight="1">
      <x:c r="A325" s="2" t="str">
        <x:v>Scream 4 (2011)</x:v>
      </x:c>
      <x:c r="B325" s="2" t="str">
        <x:v>Scream 4</x:v>
      </x:c>
      <x:c r="C325" s="3" t="n">
        <x:v>2011</x:v>
      </x:c>
      <x:c r="D325" s="2" t="str">
        <x:v>Blu-ray</x:v>
      </x:c>
      <x:c r="E325" s="4"/>
      <x:c r="F325" s="3" t="n">
        <x:v>41446</x:v>
      </x:c>
      <x:c r="G325" s="5" t="n">
        <x:v>6.483</x:v>
      </x:c>
      <x:c r="H325" s="2" t="str">
        <x:v>Horror, Mystery</x:v>
      </x:c>
      <x:c r="I325" s="6" t="str">
        <x:v>/g0YcSd5QpgGXOjg9tl0if0soOkE.jpg</x:v>
      </x:c>
      <x:c r="J325" s="7" t="str">
        <x:v>https://image.tmdb.org/t/p/w342/g0YcSd5QpgGXOjg9tl0if0soOkE.jpg</x:v>
      </x:c>
      <x:c r="K325" s="3" t="e">
        <x:f>IMAGE(J325)</x:f>
      </x:c>
      <x:c r="L325" s="8" t="n">
        <x:v>111</x:v>
      </x:c>
      <x:c r="M325" s="46" t="str">
        <x:v>Fifteen years after the original Woodsboro murders, Sidney Prescott returns home to promote her new book about surviving trauma, only for a new Ghostface killer to emerge, targeting a new group of teens.</x:v>
      </x:c>
      <x:c r="N325" s="2" t="n">
        <x:v>40646</x:v>
      </x:c>
      <x:c r="O325" s="2" t="str">
        <x:v>Unwatched</x:v>
      </x:c>
      <x:c r="P325" s="9"/>
      <x:c r="Q325" s="6"/>
      <x:c r="R325" s="2" t="str">
        <x:v>https://www.themoviedb.org/movie/41446</x:v>
      </x:c>
      <x:c r="S325" s="10" t="str">
        <x:v>Matched</x:v>
      </x:c>
    </x:row>
    <x:row r="326" ht="90" customHeight="1">
      <x:c r="A326" s="2" t="str">
        <x:v>Seed of Chucky (2004)</x:v>
      </x:c>
      <x:c r="B326" s="2" t="str">
        <x:v>Seed of Chucky</x:v>
      </x:c>
      <x:c r="C326" s="3" t="n">
        <x:v>2004</x:v>
      </x:c>
      <x:c r="D326" s="2" t="str">
        <x:v>Blu-ray</x:v>
      </x:c>
      <x:c r="E326" s="4"/>
      <x:c r="F326" s="3" t="n">
        <x:v>11249</x:v>
      </x:c>
      <x:c r="G326" s="5" t="n">
        <x:v>5.5</x:v>
      </x:c>
      <x:c r="H326" s="2" t="str">
        <x:v>Horror, Comedy</x:v>
      </x:c>
      <x:c r="I326" s="6" t="str">
        <x:v>/vd9K93gQ9whMKjXzADZanxWpIXM.jpg</x:v>
      </x:c>
      <x:c r="J326" s="7" t="str">
        <x:v>https://image.tmdb.org/t/p/w342/vd9K93gQ9whMKjXzADZanxWpIXM.jpg</x:v>
      </x:c>
      <x:c r="K326" s="3" t="e">
        <x:f>IMAGE(J326)</x:f>
      </x:c>
      <x:c r="L326" s="8" t="n">
        <x:v>86</x:v>
      </x:c>
      <x:c r="M326" s="46" t="str">
        <x:v>This time around, Chucky and his homicidal honey, Tiffany, are brought back to life by their orphan offspring, Glen. Then the horror goes Hollywood as Chucky unleashes his own brand of murderous mayhem!</x:v>
      </x:c>
      <x:c r="N326" s="2" t="n">
        <x:v>38303</x:v>
      </x:c>
      <x:c r="O326" s="2" t="str">
        <x:v>Unwatched</x:v>
      </x:c>
      <x:c r="P326" s="9"/>
      <x:c r="Q326" s="6"/>
      <x:c r="R326" s="2" t="str">
        <x:v>https://www.themoviedb.org/movie/11249</x:v>
      </x:c>
      <x:c r="S326" s="10" t="str">
        <x:v>Matched</x:v>
      </x:c>
    </x:row>
    <x:row r="327" ht="90" customHeight="1">
      <x:c r="A327" s="2" t="str">
        <x:v>Semi-Pro (2008)</x:v>
      </x:c>
      <x:c r="B327" s="2" t="str">
        <x:v>Semi-Pro</x:v>
      </x:c>
      <x:c r="C327" s="3" t="n">
        <x:v>2008</x:v>
      </x:c>
      <x:c r="D327" s="2" t="str">
        <x:v>Blu-ray</x:v>
      </x:c>
      <x:c r="E327" s="4"/>
      <x:c r="F327" s="3" t="n">
        <x:v>13260</x:v>
      </x:c>
      <x:c r="G327" s="5" t="n">
        <x:v>5.642</x:v>
      </x:c>
      <x:c r="H327" s="2" t="str">
        <x:v>Comedy</x:v>
      </x:c>
      <x:c r="I327" s="6" t="str">
        <x:v>/7KJrvJf96UpkXsWVOjzCo1IbnW6.jpg</x:v>
      </x:c>
      <x:c r="J327" s="7" t="str">
        <x:v>https://image.tmdb.org/t/p/w342/7KJrvJf96UpkXsWVOjzCo1IbnW6.jpg</x:v>
      </x:c>
      <x:c r="K327" s="3" t="e">
        <x:f>IMAGE(J327)</x:f>
      </x:c>
      <x:c r="L327" s="8" t="n">
        <x:v>91</x:v>
      </x:c>
      <x:c r="M327" s="46" t="str">
        <x:v>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x:v>
      </x:c>
      <x:c r="N327" s="2" t="n">
        <x:v>39506</x:v>
      </x:c>
      <x:c r="O327" s="2" t="str">
        <x:v>Unwatched</x:v>
      </x:c>
      <x:c r="P327" s="9"/>
      <x:c r="Q327" s="6"/>
      <x:c r="R327" s="2" t="str">
        <x:v>https://www.themoviedb.org/movie/13260</x:v>
      </x:c>
      <x:c r="S327" s="10" t="str">
        <x:v>Matched</x:v>
      </x:c>
    </x:row>
    <x:row r="328" ht="90" customHeight="1">
      <x:c r="A328" s="2" t="str">
        <x:v>Session 9 (2001)</x:v>
      </x:c>
      <x:c r="B328" s="2" t="str">
        <x:v>Session 9</x:v>
      </x:c>
      <x:c r="C328" s="3" t="n">
        <x:v>2001</x:v>
      </x:c>
      <x:c r="D328" s="2" t="str">
        <x:v>Blu-ray</x:v>
      </x:c>
      <x:c r="E328" s="4"/>
      <x:c r="F328" s="3" t="n">
        <x:v>10972</x:v>
      </x:c>
      <x:c r="G328" s="5" t="n">
        <x:v>6.129</x:v>
      </x:c>
      <x:c r="H328" s="2" t="str">
        <x:v>Horror, Mystery, Drama</x:v>
      </x:c>
      <x:c r="I328" s="6" t="str">
        <x:v>/A3Au37c3KJX29BDvldzGiYtaU5B.jpg</x:v>
      </x:c>
      <x:c r="J328" s="7" t="str">
        <x:v>https://image.tmdb.org/t/p/w342/A3Au37c3KJX29BDvldzGiYtaU5B.jpg</x:v>
      </x:c>
      <x:c r="K328" s="3" t="e">
        <x:f>IMAGE(J328)</x:f>
      </x:c>
      <x:c r="L328" s="8" t="n">
        <x:v>100</x:v>
      </x:c>
      <x:c r="M328" s="46" t="str">
        <x:v>Tensions rise within an asbestos cleaning crew as they work in an abandoned mental hospital with a horrific past that seems to be coming back.</x:v>
      </x:c>
      <x:c r="N328" s="2" t="n">
        <x:v>37113</x:v>
      </x:c>
      <x:c r="O328" s="2" t="str">
        <x:v>Unwatched</x:v>
      </x:c>
      <x:c r="P328" s="9"/>
      <x:c r="Q328" s="6"/>
      <x:c r="R328" s="2" t="str">
        <x:v>https://www.themoviedb.org/movie/10972</x:v>
      </x:c>
      <x:c r="S328" s="10" t="str">
        <x:v>Matched</x:v>
      </x:c>
    </x:row>
    <x:row r="329" ht="90" customHeight="1">
      <x:c r="A329" s="2" t="str">
        <x:v>Seven (1995)</x:v>
      </x:c>
      <x:c r="B329" s="2" t="str">
        <x:v>Seven</x:v>
      </x:c>
      <x:c r="C329" s="3" t="n">
        <x:v>1995</x:v>
      </x:c>
      <x:c r="D329" s="2" t="str">
        <x:v>Blu-ray</x:v>
      </x:c>
      <x:c r="E329" s="4"/>
      <x:c r="F329" s="3" t="n">
        <x:v>465948</x:v>
      </x:c>
      <x:c r="G329" s="5" t="n">
        <x:v>7.6</x:v>
      </x:c>
      <x:c r="H329" s="2" t="str">
        <x:v>Comedy</x:v>
      </x:c>
      <x:c r="I329" s="6" t="str">
        <x:v>/6PJjhNNAZ6LdGjQ8LXDFZuYnYkP.jpg</x:v>
      </x:c>
      <x:c r="J329" s="7" t="str">
        <x:v>https://image.tmdb.org/t/p/w342/6PJjhNNAZ6LdGjQ8LXDFZuYnYkP.jpg</x:v>
      </x:c>
      <x:c r="K329" s="3" t="e">
        <x:f>IMAGE(J329)</x:f>
      </x:c>
      <x:c r="L329" s="8" t="n">
        <x:v>90</x:v>
      </x:c>
      <x:c r="M329" s="46" t="str">
        <x:v>Dodo, a French man living in Florida, has one goal in life: Get by without working. Difficult to implement without the help of some women. Betty is one of them, and a gypsy's bride, who suddenly disappears, changing Dodo's life.</x:v>
      </x:c>
      <x:c r="N329" s="2" t="n">
        <x:v>34710</x:v>
      </x:c>
      <x:c r="O329" s="2" t="str">
        <x:v>Unwatched</x:v>
      </x:c>
      <x:c r="P329" s="9"/>
      <x:c r="Q329" s="6"/>
      <x:c r="R329" s="2" t="str">
        <x:v>https://www.themoviedb.org/movie/465948</x:v>
      </x:c>
      <x:c r="S329" s="10" t="str">
        <x:v>Matched</x:v>
      </x:c>
    </x:row>
    <x:row r="330" ht="90" customHeight="1">
      <x:c r="A330" s="2" t="str">
        <x:v>Shaun of the Dead (2004)</x:v>
      </x:c>
      <x:c r="B330" s="2" t="str">
        <x:v>Shaun of the Dead</x:v>
      </x:c>
      <x:c r="C330" s="3" t="n">
        <x:v>2004</x:v>
      </x:c>
      <x:c r="D330" s="2" t="str">
        <x:v>Blu-ray</x:v>
      </x:c>
      <x:c r="E330" s="4"/>
      <x:c r="F330" s="3" t="n">
        <x:v>747</x:v>
      </x:c>
      <x:c r="G330" s="5" t="n">
        <x:v>7.542</x:v>
      </x:c>
      <x:c r="H330" s="2" t="str">
        <x:v>Horror, Comedy</x:v>
      </x:c>
      <x:c r="I330" s="6" t="str">
        <x:v>/dgXPhzNJH8HFTBjXPB177yNx6RI.jpg</x:v>
      </x:c>
      <x:c r="J330" s="7" t="str">
        <x:v>https://image.tmdb.org/t/p/w342/dgXPhzNJH8HFTBjXPB177yNx6RI.jpg</x:v>
      </x:c>
      <x:c r="K330" s="3" t="e">
        <x:f>IMAGE(J330)</x:f>
      </x:c>
      <x:c r="L330" s="8" t="n">
        <x:v>99</x:v>
      </x:c>
      <x:c r="M330" s="46" t="str">
        <x:v>Shaun lives a supremely uneventful life, which revolves around his girlfriend, his mother, and, above all, his local pub. This gentle routine is threatened when the dead return to life and make strenuous attempts to snack on ordinary Londoners.</x:v>
      </x:c>
      <x:c r="N330" s="2" t="n">
        <x:v>38086</x:v>
      </x:c>
      <x:c r="O330" s="2" t="str">
        <x:v>Unwatched</x:v>
      </x:c>
      <x:c r="P330" s="9"/>
      <x:c r="Q330" s="6"/>
      <x:c r="R330" s="2" t="str">
        <x:v>https://www.themoviedb.org/movie/747</x:v>
      </x:c>
      <x:c r="S330" s="10" t="str">
        <x:v>Matched</x:v>
      </x:c>
    </x:row>
    <x:row r="331" ht="90" customHeight="1">
      <x:c r="A331" s="2" t="str">
        <x:v>The Shining (1980)</x:v>
      </x:c>
      <x:c r="B331" s="2" t="str">
        <x:v>The Shining</x:v>
      </x:c>
      <x:c r="C331" s="3" t="n">
        <x:v>1980</x:v>
      </x:c>
      <x:c r="D331" s="2" t="str">
        <x:v>Blu-ray</x:v>
      </x:c>
      <x:c r="E331" s="4"/>
      <x:c r="F331" s="3" t="n">
        <x:v>694</x:v>
      </x:c>
      <x:c r="G331" s="5" t="n">
        <x:v>8.204</x:v>
      </x:c>
      <x:c r="H331" s="2" t="str">
        <x:v>Horror, Thriller</x:v>
      </x:c>
      <x:c r="I331" s="6" t="str">
        <x:v>/uAR0AWqhQL1hQa69UDEbb2rE5Wx.jpg</x:v>
      </x:c>
      <x:c r="J331" s="7" t="str">
        <x:v>https://image.tmdb.org/t/p/w342/uAR0AWqhQL1hQa69UDEbb2rE5Wx.jpg</x:v>
      </x:c>
      <x:c r="K331" s="3" t="e">
        <x:f>IMAGE(J331)</x:f>
      </x:c>
      <x:c r="L331" s="8" t="n">
        <x:v>144</x:v>
      </x:c>
      <x:c r="M331" s="46" t="str">
        <x:v>Jack Torrance accepts a caretaker job at the Overlook Hotel, where he, along with his wife Wendy and their son Danny, must live isolated from the rest of the world for the winter. But they aren't prepared for the madness that lurks within.</x:v>
      </x:c>
      <x:c r="N331" s="2" t="n">
        <x:v>29364</x:v>
      </x:c>
      <x:c r="O331" s="2" t="str">
        <x:v>Unwatched</x:v>
      </x:c>
      <x:c r="P331" s="9"/>
      <x:c r="Q331" s="6"/>
      <x:c r="R331" s="2" t="str">
        <x:v>https://www.themoviedb.org/movie/694</x:v>
      </x:c>
      <x:c r="S331" s="10" t="str">
        <x:v>Matched</x:v>
      </x:c>
    </x:row>
    <x:row r="332" ht="90" customHeight="1">
      <x:c r="A332" s="2" t="str">
        <x:v>Shrooms (2007)</x:v>
      </x:c>
      <x:c r="B332" s="2" t="str">
        <x:v>Shrooms</x:v>
      </x:c>
      <x:c r="C332" s="3" t="n">
        <x:v>2007</x:v>
      </x:c>
      <x:c r="D332" s="2" t="str">
        <x:v>Blu-ray</x:v>
      </x:c>
      <x:c r="E332" s="4"/>
      <x:c r="F332" s="3" t="n">
        <x:v>14456</x:v>
      </x:c>
      <x:c r="G332" s="5" t="n">
        <x:v>4.886</x:v>
      </x:c>
      <x:c r="H332" s="2" t="str">
        <x:v>Horror, Mystery</x:v>
      </x:c>
      <x:c r="I332" s="6" t="str">
        <x:v>/pU4lcKfjf0U8pM036FHyoVGLev7.jpg</x:v>
      </x:c>
      <x:c r="J332" s="7" t="str">
        <x:v>https://image.tmdb.org/t/p/w342/pU4lcKfjf0U8pM036FHyoVGLev7.jpg</x:v>
      </x:c>
      <x:c r="K332" s="3" t="e">
        <x:f>IMAGE(J332)</x:f>
      </x:c>
      <x:c r="L332" s="8" t="n">
        <x:v>84</x:v>
      </x:c>
      <x:c r="M332" s="46" t="str">
        <x:v>A group of American teens comes to Ireland to visit a friend who takes them on a camping trip in search of the local, fabled magic mushrooms. When the psychedelics start taking hold, the panicked friends are attacked by ghostly creatures; but how can they determine whether what they are experiencing is reality or hallucination?</x:v>
      </x:c>
      <x:c r="N332" s="2" t="n">
        <x:v>39310</x:v>
      </x:c>
      <x:c r="O332" s="2" t="str">
        <x:v>Unwatched</x:v>
      </x:c>
      <x:c r="P332" s="9"/>
      <x:c r="Q332" s="6"/>
      <x:c r="R332" s="2" t="str">
        <x:v>https://www.themoviedb.org/movie/14456</x:v>
      </x:c>
      <x:c r="S332" s="10" t="str">
        <x:v>Matched</x:v>
      </x:c>
    </x:row>
    <x:row r="333" ht="90" customHeight="1">
      <x:c r="A333" s="2" t="str">
        <x:v>Shutter Island (2010)</x:v>
      </x:c>
      <x:c r="B333" s="2" t="str">
        <x:v>Shutter Island</x:v>
      </x:c>
      <x:c r="C333" s="3" t="n">
        <x:v>2010</x:v>
      </x:c>
      <x:c r="D333" s="2" t="str">
        <x:v>Blu-ray</x:v>
      </x:c>
      <x:c r="E333" s="4"/>
      <x:c r="F333" s="3" t="n">
        <x:v>11324</x:v>
      </x:c>
      <x:c r="G333" s="5" t="n">
        <x:v>8.198</x:v>
      </x:c>
      <x:c r="H333" s="2" t="str">
        <x:v>Drama, Thriller, Mystery</x:v>
      </x:c>
      <x:c r="I333" s="6" t="str">
        <x:v>/nrmXQ0zcZUL8jFLrakWc90IR8z9.jpg</x:v>
      </x:c>
      <x:c r="J333" s="7" t="str">
        <x:v>https://image.tmdb.org/t/p/w342/nrmXQ0zcZUL8jFLrakWc90IR8z9.jpg</x:v>
      </x:c>
      <x:c r="K333" s="3" t="e">
        <x:f>IMAGE(J333)</x:f>
      </x:c>
      <x:c r="L333" s="8" t="n">
        <x:v>138</x:v>
      </x:c>
      <x:c r="M333" s="46" t="str">
        <x:v>World War II soldier-turned-U.S. Marshal Teddy Daniels investigates the disappearance of a patient from a hospital for the criminally insane, but his efforts are compromised by troubling visions and a mysterious doctor.</x:v>
      </x:c>
      <x:c r="N333" s="2" t="n">
        <x:v>40223</x:v>
      </x:c>
      <x:c r="O333" s="2" t="str">
        <x:v>Unwatched</x:v>
      </x:c>
      <x:c r="P333" s="9"/>
      <x:c r="Q333" s="6"/>
      <x:c r="R333" s="2" t="str">
        <x:v>https://www.themoviedb.org/movie/11324</x:v>
      </x:c>
      <x:c r="S333" s="10" t="str">
        <x:v>Matched</x:v>
      </x:c>
    </x:row>
    <x:row r="334" ht="90" customHeight="1">
      <x:c r="A334" s="2" t="str">
        <x:v>The Silence of the Lambs (1991)</x:v>
      </x:c>
      <x:c r="B334" s="2" t="str">
        <x:v>The Silence of the Lambs</x:v>
      </x:c>
      <x:c r="C334" s="3" t="n">
        <x:v>1991</x:v>
      </x:c>
      <x:c r="D334" s="2" t="str">
        <x:v>Blu-ray</x:v>
      </x:c>
      <x:c r="E334" s="4"/>
      <x:c r="F334" s="3" t="n">
        <x:v>274</x:v>
      </x:c>
      <x:c r="G334" s="5" t="n">
        <x:v>8.345</x:v>
      </x:c>
      <x:c r="H334" s="2" t="str">
        <x:v>Crime, Thriller, Drama</x:v>
      </x:c>
      <x:c r="I334" s="6" t="str">
        <x:v>/uS9m8OBk1A8eM9I042bx8XXpqAq.jpg</x:v>
      </x:c>
      <x:c r="J334" s="7" t="str">
        <x:v>https://image.tmdb.org/t/p/w342/uS9m8OBk1A8eM9I042bx8XXpqAq.jpg</x:v>
      </x:c>
      <x:c r="K334" s="3" t="e">
        <x:f>IMAGE(J334)</x:f>
      </x:c>
      <x:c r="L334" s="8" t="n">
        <x:v>119</x:v>
      </x:c>
      <x:c r="M334" s="46" t="str">
        <x:v>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x:v>
      </x:c>
      <x:c r="N334" s="2" t="n">
        <x:v>33283</x:v>
      </x:c>
      <x:c r="O334" s="2" t="str">
        <x:v>Unwatched</x:v>
      </x:c>
      <x:c r="P334" s="9"/>
      <x:c r="Q334" s="6"/>
      <x:c r="R334" s="2" t="str">
        <x:v>https://www.themoviedb.org/movie/274</x:v>
      </x:c>
      <x:c r="S334" s="10" t="str">
        <x:v>Matched</x:v>
      </x:c>
    </x:row>
    <x:row r="335" ht="90" customHeight="1">
      <x:c r="A335" s="2" t="str">
        <x:v>The Simpsons Movie (2007)</x:v>
      </x:c>
      <x:c r="B335" s="2" t="str">
        <x:v>The Simpsons Movie</x:v>
      </x:c>
      <x:c r="C335" s="3" t="n">
        <x:v>2007</x:v>
      </x:c>
      <x:c r="D335" s="2" t="str">
        <x:v>Blu-ray</x:v>
      </x:c>
      <x:c r="E335" s="4"/>
      <x:c r="F335" s="3" t="n">
        <x:v>35</x:v>
      </x:c>
      <x:c r="G335" s="5" t="n">
        <x:v>7.022</x:v>
      </x:c>
      <x:c r="H335" s="2" t="str">
        <x:v>Animation, Comedy, Family</x:v>
      </x:c>
      <x:c r="I335" s="6" t="str">
        <x:v>/s3b8TZWwmkYc2KoJ5zk77qB6PzY.jpg</x:v>
      </x:c>
      <x:c r="J335" s="7" t="str">
        <x:v>https://image.tmdb.org/t/p/w342/s3b8TZWwmkYc2KoJ5zk77qB6PzY.jpg</x:v>
      </x:c>
      <x:c r="K335" s="3" t="e">
        <x:f>IMAGE(J335)</x:f>
      </x:c>
      <x:c r="L335" s="8" t="n">
        <x:v>87</x:v>
      </x:c>
      <x:c r="M335" s="46" t="str">
        <x:v>After Homer accidentally pollutes the town's water supply, Springfield is encased in a gigantic dome by the EPA and the Simpsons are declared fugitives.</x:v>
      </x:c>
      <x:c r="N335" s="2" t="n">
        <x:v>39288</x:v>
      </x:c>
      <x:c r="O335" s="2" t="str">
        <x:v>Unwatched</x:v>
      </x:c>
      <x:c r="P335" s="9"/>
      <x:c r="Q335" s="6"/>
      <x:c r="R335" s="2" t="str">
        <x:v>https://www.themoviedb.org/movie/35</x:v>
      </x:c>
      <x:c r="S335" s="10" t="str">
        <x:v>Matched</x:v>
      </x:c>
    </x:row>
    <x:row r="336" ht="90" customHeight="1">
      <x:c r="A336" s="2" t="str">
        <x:v>Sinister (2012)</x:v>
      </x:c>
      <x:c r="B336" s="2" t="str">
        <x:v>Sinister</x:v>
      </x:c>
      <x:c r="C336" s="3" t="n">
        <x:v>2012</x:v>
      </x:c>
      <x:c r="D336" s="2" t="str">
        <x:v>Blu-ray</x:v>
      </x:c>
      <x:c r="E336" s="4"/>
      <x:c r="F336" s="3" t="n">
        <x:v>82507</x:v>
      </x:c>
      <x:c r="G336" s="5" t="n">
        <x:v>6.9</x:v>
      </x:c>
      <x:c r="H336" s="2" t="str">
        <x:v>Horror, Thriller, Mystery</x:v>
      </x:c>
      <x:c r="I336" s="6" t="str">
        <x:v>/nzx10sca3arCeYBAomHan4Q6wa1.jpg</x:v>
      </x:c>
      <x:c r="J336" s="7" t="str">
        <x:v>https://image.tmdb.org/t/p/w342/nzx10sca3arCeYBAomHan4Q6wa1.jpg</x:v>
      </x:c>
      <x:c r="K336" s="3" t="e">
        <x:f>IMAGE(J336)</x:f>
      </x:c>
      <x:c r="L336" s="8" t="n">
        <x:v>110</x:v>
      </x:c>
      <x:c r="M336" s="46" t="str">
        <x:v>True-crime writer Ellison Oswalt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x:v>
      </x:c>
      <x:c r="N336" s="2" t="n">
        <x:v>40997</x:v>
      </x:c>
      <x:c r="O336" s="2" t="str">
        <x:v>Unwatched</x:v>
      </x:c>
      <x:c r="P336" s="9"/>
      <x:c r="Q336" s="6"/>
      <x:c r="R336" s="2" t="str">
        <x:v>https://www.themoviedb.org/movie/82507</x:v>
      </x:c>
      <x:c r="S336" s="10" t="str">
        <x:v>Matched</x:v>
      </x:c>
    </x:row>
    <x:row r="337" ht="90" customHeight="1">
      <x:c r="A337" s="2" t="str">
        <x:v>Sinister 2 (2015)</x:v>
      </x:c>
      <x:c r="B337" s="2" t="str">
        <x:v>Sinister 2</x:v>
      </x:c>
      <x:c r="C337" s="3" t="n">
        <x:v>2015</x:v>
      </x:c>
      <x:c r="D337" s="2" t="str">
        <x:v>Blu-ray</x:v>
      </x:c>
      <x:c r="E337" s="4"/>
      <x:c r="F337" s="3" t="n">
        <x:v>283445</x:v>
      </x:c>
      <x:c r="G337" s="5" t="n">
        <x:v>5.891</x:v>
      </x:c>
      <x:c r="H337" s="2" t="str">
        <x:v>Horror</x:v>
      </x:c>
      <x:c r="I337" s="6" t="str">
        <x:v>/hF6ORyihtAWHqKkIQI8BSpLQyON.jpg</x:v>
      </x:c>
      <x:c r="J337" s="7" t="str">
        <x:v>https://image.tmdb.org/t/p/w342/hF6ORyihtAWHqKkIQI8BSpLQyON.jpg</x:v>
      </x:c>
      <x:c r="K337" s="3" t="e">
        <x:f>IMAGE(J337)</x:f>
      </x:c>
      <x:c r="L337" s="8" t="n">
        <x:v>97</x:v>
      </x:c>
      <x:c r="M337" s="46" t="str">
        <x:v>A young mother and her twin sons move into a rural house that's marked for death.</x:v>
      </x:c>
      <x:c r="N337" s="2" t="n">
        <x:v>42235</x:v>
      </x:c>
      <x:c r="O337" s="2" t="str">
        <x:v>Unwatched</x:v>
      </x:c>
      <x:c r="P337" s="9"/>
      <x:c r="Q337" s="6"/>
      <x:c r="R337" s="2" t="str">
        <x:v>https://www.themoviedb.org/movie/283445</x:v>
      </x:c>
      <x:c r="S337" s="10" t="str">
        <x:v>Matched</x:v>
      </x:c>
    </x:row>
    <x:row r="338" ht="90" customHeight="1">
      <x:c r="A338" s="2" t="str">
        <x:v>Sinners (2025)</x:v>
      </x:c>
      <x:c r="B338" s="2" t="str">
        <x:v>Sinners</x:v>
      </x:c>
      <x:c r="C338" s="3" t="n">
        <x:v>2025</x:v>
      </x:c>
      <x:c r="D338" s="2" t="str">
        <x:v>Blu-ray</x:v>
      </x:c>
      <x:c r="E338" s="4"/>
      <x:c r="F338" s="3" t="n">
        <x:v>1233413</x:v>
      </x:c>
      <x:c r="G338" s="5" t="n">
        <x:v>7.489</x:v>
      </x:c>
      <x:c r="H338" s="2" t="str">
        <x:v>Horror, Action, Thriller</x:v>
      </x:c>
      <x:c r="I338" s="6" t="str">
        <x:v>/oucvKATkCI77ngtPjxAI9SAZW42.jpg</x:v>
      </x:c>
      <x:c r="J338" s="7" t="str">
        <x:v>https://image.tmdb.org/t/p/w342/oucvKATkCI77ngtPjxAI9SAZW42.jpg</x:v>
      </x:c>
      <x:c r="K338" s="3" t="e">
        <x:f>IMAGE(J338)</x:f>
      </x:c>
      <x:c r="L338" s="8" t="n">
        <x:v>138</x:v>
      </x:c>
      <x:c r="M338" s="46" t="str">
        <x:v>Trying to leave their troubled lives behind, twin brothers return to their hometown to start again, only to discover that an even greater evil is waiting to welcome them back.</x:v>
      </x:c>
      <x:c r="N338" s="2" t="n">
        <x:v>45763</x:v>
      </x:c>
      <x:c r="O338" s="2" t="str">
        <x:v>Unwatched</x:v>
      </x:c>
      <x:c r="P338" s="9"/>
      <x:c r="Q338" s="6"/>
      <x:c r="R338" s="2" t="str">
        <x:v>https://www.themoviedb.org/movie/1233413</x:v>
      </x:c>
      <x:c r="S338" s="10" t="str">
        <x:v>Matched</x:v>
      </x:c>
    </x:row>
    <x:row r="339" ht="90" customHeight="1">
      <x:c r="A339" s="2" t="str">
        <x:v>Smile (2022)</x:v>
      </x:c>
      <x:c r="B339" s="2" t="str">
        <x:v>Smile</x:v>
      </x:c>
      <x:c r="C339" s="3" t="n">
        <x:v>2022</x:v>
      </x:c>
      <x:c r="D339" s="2" t="str">
        <x:v>Blu-ray</x:v>
      </x:c>
      <x:c r="E339" s="4"/>
      <x:c r="F339" s="3" t="n">
        <x:v>882598</x:v>
      </x:c>
      <x:c r="G339" s="5" t="n">
        <x:v>6.7</x:v>
      </x:c>
      <x:c r="H339" s="2" t="str">
        <x:v>Horror, Mystery</x:v>
      </x:c>
      <x:c r="I339" s="6" t="str">
        <x:v>/aPqcQwu4VGEewPhagWNncDbJ9Xp.jpg</x:v>
      </x:c>
      <x:c r="J339" s="7" t="str">
        <x:v>https://image.tmdb.org/t/p/w342/aPqcQwu4VGEewPhagWNncDbJ9Xp.jpg</x:v>
      </x:c>
      <x:c r="K339" s="3" t="e">
        <x:f>IMAGE(J339)</x:f>
      </x:c>
      <x:c r="L339" s="8" t="n">
        <x:v>115</x:v>
      </x:c>
      <x:c r="M339" s="46" t="str">
        <x:v>After witnessing a bizarre, traumatic incident involving a patient, Dr. Rose Cotter starts experiencing frightening occurrences that she can't explain.</x:v>
      </x:c>
      <x:c r="N339" s="2" t="n">
        <x:v>44827</x:v>
      </x:c>
      <x:c r="O339" s="2" t="str">
        <x:v>Unwatched</x:v>
      </x:c>
      <x:c r="P339" s="9"/>
      <x:c r="Q339" s="6"/>
      <x:c r="R339" s="2" t="str">
        <x:v>https://www.themoviedb.org/movie/882598</x:v>
      </x:c>
      <x:c r="S339" s="10" t="str">
        <x:v>Matched</x:v>
      </x:c>
    </x:row>
    <x:row r="340" ht="90" customHeight="1">
      <x:c r="A340" s="2" t="str">
        <x:v>Sonic the Hedgehog (2020)</x:v>
      </x:c>
      <x:c r="B340" s="2" t="str">
        <x:v>Sonic the Hedgehog</x:v>
      </x:c>
      <x:c r="C340" s="3" t="n">
        <x:v>2020</x:v>
      </x:c>
      <x:c r="D340" s="2" t="str">
        <x:v>Blu-ray</x:v>
      </x:c>
      <x:c r="E340" s="4"/>
      <x:c r="F340" s="3" t="n">
        <x:v>454626</x:v>
      </x:c>
      <x:c r="G340" s="5" t="n">
        <x:v>7.3</x:v>
      </x:c>
      <x:c r="H340" s="2" t="str">
        <x:v>Action, Science Fiction, Comedy, Family</x:v>
      </x:c>
      <x:c r="I340" s="6" t="str">
        <x:v>/aQvJ5WPzZgYVDrxLX4R6cLJCEaQ.jpg</x:v>
      </x:c>
      <x:c r="J340" s="7" t="str">
        <x:v>https://image.tmdb.org/t/p/w342/aQvJ5WPzZgYVDrxLX4R6cLJCEaQ.jpg</x:v>
      </x:c>
      <x:c r="K340" s="3" t="e">
        <x:f>IMAGE(J340)</x:f>
      </x:c>
      <x:c r="L340" s="8" t="n">
        <x:v>99</x:v>
      </x:c>
      <x:c r="M340" s="46" t="str">
        <x:v>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x:v>
      </x:c>
      <x:c r="N340" s="2" t="n">
        <x:v>43873</x:v>
      </x:c>
      <x:c r="O340" s="2" t="str">
        <x:v>Unwatched</x:v>
      </x:c>
      <x:c r="P340" s="9"/>
      <x:c r="Q340" s="6"/>
      <x:c r="R340" s="2" t="str">
        <x:v>https://www.themoviedb.org/movie/454626</x:v>
      </x:c>
      <x:c r="S340" s="10" t="str">
        <x:v>Matched</x:v>
      </x:c>
    </x:row>
    <x:row r="341" ht="90" customHeight="1">
      <x:c r="A341" s="2" t="str">
        <x:v>The Sorcerer's Apprentice (2010)</x:v>
      </x:c>
      <x:c r="B341" s="2" t="str">
        <x:v>The Sorcerer's Apprentice</x:v>
      </x:c>
      <x:c r="C341" s="3" t="n">
        <x:v>2010</x:v>
      </x:c>
      <x:c r="D341" s="2" t="str">
        <x:v>Blu-ray</x:v>
      </x:c>
      <x:c r="E341" s="4"/>
      <x:c r="F341" s="3" t="n">
        <x:v>27022</x:v>
      </x:c>
      <x:c r="G341" s="5" t="n">
        <x:v>6.1</x:v>
      </x:c>
      <x:c r="H341" s="2" t="str">
        <x:v>Fantasy, Adventure, Action</x:v>
      </x:c>
      <x:c r="I341" s="6" t="str">
        <x:v>/b5pIUsGll0418NyfNA5eYCI9aoK.jpg</x:v>
      </x:c>
      <x:c r="J341" s="7" t="str">
        <x:v>https://image.tmdb.org/t/p/w342/b5pIUsGll0418NyfNA5eYCI9aoK.jpg</x:v>
      </x:c>
      <x:c r="K341" s="3" t="e">
        <x:f>IMAGE(J341)</x:f>
      </x:c>
      <x:c r="L341" s="8" t="n">
        <x:v>109</x:v>
      </x:c>
      <x:c r="M341" s="46" t="str">
        <x:v>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x:v>
      </x:c>
      <x:c r="N341" s="2" t="n">
        <x:v>40372</x:v>
      </x:c>
      <x:c r="O341" s="2" t="str">
        <x:v>Unwatched</x:v>
      </x:c>
      <x:c r="P341" s="9"/>
      <x:c r="Q341" s="6"/>
      <x:c r="R341" s="2" t="str">
        <x:v>https://www.themoviedb.org/movie/27022</x:v>
      </x:c>
      <x:c r="S341" s="10" t="str">
        <x:v>Matched</x:v>
      </x:c>
    </x:row>
    <x:row r="342" ht="90" customHeight="1">
      <x:c r="A342" s="2" t="str">
        <x:v>South Park: Bigger, Longer &amp; Uncut (1999)</x:v>
      </x:c>
      <x:c r="B342" s="2" t="str">
        <x:v>South Park: Bigger, Longer &amp; Uncut</x:v>
      </x:c>
      <x:c r="C342" s="3" t="n">
        <x:v>1999</x:v>
      </x:c>
      <x:c r="D342" s="2" t="str">
        <x:v>Blu-ray</x:v>
      </x:c>
      <x:c r="E342" s="4"/>
      <x:c r="F342" s="3" t="n">
        <x:v>9473</x:v>
      </x:c>
      <x:c r="G342" s="5" t="n">
        <x:v>7.282</x:v>
      </x:c>
      <x:c r="H342" s="2" t="str">
        <x:v>Animation, Comedy</x:v>
      </x:c>
      <x:c r="I342" s="6" t="str">
        <x:v>/tS0PedvA2mFO9VCHYwQpaU1K36U.jpg</x:v>
      </x:c>
      <x:c r="J342" s="7" t="str">
        <x:v>https://image.tmdb.org/t/p/w342/tS0PedvA2mFO9VCHYwQpaU1K36U.jpg</x:v>
      </x:c>
      <x:c r="K342" s="3" t="e">
        <x:f>IMAGE(J342)</x:f>
      </x:c>
      <x:c r="L342" s="8" t="n">
        <x:v>81</x:v>
      </x:c>
      <x:c r="M342" s="46" t="str">
        <x:v>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x:v>
      </x:c>
      <x:c r="N342" s="2" t="n">
        <x:v>36335</x:v>
      </x:c>
      <x:c r="O342" s="2" t="str">
        <x:v>Unwatched</x:v>
      </x:c>
      <x:c r="P342" s="9"/>
      <x:c r="Q342" s="6"/>
      <x:c r="R342" s="2" t="str">
        <x:v>https://www.themoviedb.org/movie/9473</x:v>
      </x:c>
      <x:c r="S342" s="10" t="str">
        <x:v>Matched</x:v>
      </x:c>
    </x:row>
    <x:row r="343" ht="90" customHeight="1">
      <x:c r="A343" s="2" t="str">
        <x:v>Spaceballs (1987)</x:v>
      </x:c>
      <x:c r="B343" s="2" t="str">
        <x:v>Spaceballs</x:v>
      </x:c>
      <x:c r="C343" s="3" t="n">
        <x:v>1987</x:v>
      </x:c>
      <x:c r="D343" s="2" t="str">
        <x:v>Blu-ray</x:v>
      </x:c>
      <x:c r="E343" s="4"/>
      <x:c r="F343" s="3" t="n">
        <x:v>957</x:v>
      </x:c>
      <x:c r="G343" s="5" t="n">
        <x:v>6.867</x:v>
      </x:c>
      <x:c r="H343" s="2" t="str">
        <x:v>Comedy, Science Fiction</x:v>
      </x:c>
      <x:c r="I343" s="6" t="str">
        <x:v>/kNbaxEsnCyWBTfANVPHayujBsxp.jpg</x:v>
      </x:c>
      <x:c r="J343" s="7" t="str">
        <x:v>https://image.tmdb.org/t/p/w342/kNbaxEsnCyWBTfANVPHayujBsxp.jpg</x:v>
      </x:c>
      <x:c r="K343" s="3" t="e">
        <x:f>IMAGE(J343)</x:f>
      </x:c>
      <x:c r="L343" s="8" t="n">
        <x:v>96</x:v>
      </x:c>
      <x:c r="M343" s="46" t="str">
        <x:v>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x:v>
      </x:c>
      <x:c r="N343" s="2" t="n">
        <x:v>31952</x:v>
      </x:c>
      <x:c r="O343" s="2" t="str">
        <x:v>Unwatched</x:v>
      </x:c>
      <x:c r="P343" s="9"/>
      <x:c r="Q343" s="6"/>
      <x:c r="R343" s="2" t="str">
        <x:v>https://www.themoviedb.org/movie/957</x:v>
      </x:c>
      <x:c r="S343" s="10" t="str">
        <x:v>Matched</x:v>
      </x:c>
    </x:row>
    <x:row r="344" ht="90" customHeight="1">
      <x:c r="A344" s="2" t="str">
        <x:v>Spider-Man (2002)</x:v>
      </x:c>
      <x:c r="B344" s="2" t="str">
        <x:v>Spider-Man</x:v>
      </x:c>
      <x:c r="C344" s="3" t="n">
        <x:v>2002</x:v>
      </x:c>
      <x:c r="D344" s="2" t="str">
        <x:v>Blu-ray</x:v>
      </x:c>
      <x:c r="E344" s="4"/>
      <x:c r="F344" s="3" t="n">
        <x:v>557</x:v>
      </x:c>
      <x:c r="G344" s="5" t="n">
        <x:v>7.329</x:v>
      </x:c>
      <x:c r="H344" s="2" t="str">
        <x:v>Action, Science Fiction</x:v>
      </x:c>
      <x:c r="I344" s="6" t="str">
        <x:v>/kjdJntyBeEvqm9w97QGBdxPptzj.jpg</x:v>
      </x:c>
      <x:c r="J344" s="7" t="str">
        <x:v>https://image.tmdb.org/t/p/w342/kjdJntyBeEvqm9w97QGBdxPptzj.jpg</x:v>
      </x:c>
      <x:c r="K344" s="3" t="e">
        <x:f>IMAGE(J344)</x:f>
      </x:c>
      <x:c r="L344" s="8" t="n">
        <x:v>121</x:v>
      </x:c>
      <x:c r="M344" s="46" t="str">
        <x:v>After being bitten by a genetically altered spider at Oscorp, nerdy but endearing high school student Peter Parker is endowed with amazing powers to become the superhero known as Spider-Man.</x:v>
      </x:c>
      <x:c r="N344" s="2" t="n">
        <x:v>37377</x:v>
      </x:c>
      <x:c r="O344" s="2" t="str">
        <x:v>Unwatched</x:v>
      </x:c>
      <x:c r="P344" s="9"/>
      <x:c r="Q344" s="6"/>
      <x:c r="R344" s="2" t="str">
        <x:v>https://www.themoviedb.org/movie/557</x:v>
      </x:c>
      <x:c r="S344" s="10" t="str">
        <x:v>Matched</x:v>
      </x:c>
    </x:row>
    <x:row r="345" ht="90" customHeight="1">
      <x:c r="A345" s="2" t="str">
        <x:v>Spider-Man 2 (2004)</x:v>
      </x:c>
      <x:c r="B345" s="2" t="str">
        <x:v>Spider-Man 2</x:v>
      </x:c>
      <x:c r="C345" s="3" t="n">
        <x:v>2004</x:v>
      </x:c>
      <x:c r="D345" s="2" t="str">
        <x:v>Blu-ray</x:v>
      </x:c>
      <x:c r="E345" s="4"/>
      <x:c r="F345" s="3" t="n">
        <x:v>558</x:v>
      </x:c>
      <x:c r="G345" s="5" t="n">
        <x:v>7.308</x:v>
      </x:c>
      <x:c r="H345" s="2" t="str">
        <x:v>Action, Adventure, Science Fiction</x:v>
      </x:c>
      <x:c r="I345" s="6" t="str">
        <x:v>/aGuvNAaaZuWXYQQ6N2v7DeuP6mB.jpg</x:v>
      </x:c>
      <x:c r="J345" s="7" t="str">
        <x:v>https://image.tmdb.org/t/p/w342/aGuvNAaaZuWXYQQ6N2v7DeuP6mB.jpg</x:v>
      </x:c>
      <x:c r="K345" s="3" t="e">
        <x:f>IMAGE(J345)</x:f>
      </x:c>
      <x:c r="L345" s="8" t="n">
        <x:v>127</x:v>
      </x:c>
      <x:c r="M345" s="46" t="str">
        <x: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x:v>
      </x:c>
      <x:c r="N345" s="2" t="n">
        <x:v>38163</x:v>
      </x:c>
      <x:c r="O345" s="2" t="str">
        <x:v>Unwatched</x:v>
      </x:c>
      <x:c r="P345" s="9"/>
      <x:c r="Q345" s="6"/>
      <x:c r="R345" s="2" t="str">
        <x:v>https://www.themoviedb.org/movie/558</x:v>
      </x:c>
      <x:c r="S345" s="10" t="str">
        <x:v>Matched</x:v>
      </x:c>
    </x:row>
    <x:row r="346" ht="90" customHeight="1">
      <x:c r="A346" s="2" t="str">
        <x:v>Spider-Man 3 (2007)</x:v>
      </x:c>
      <x:c r="B346" s="2" t="str">
        <x:v>Spider-Man 3</x:v>
      </x:c>
      <x:c r="C346" s="3" t="n">
        <x:v>2007</x:v>
      </x:c>
      <x:c r="D346" s="2" t="str">
        <x:v>Blu-ray</x:v>
      </x:c>
      <x:c r="E346" s="4"/>
      <x:c r="F346" s="3" t="n">
        <x:v>559</x:v>
      </x:c>
      <x:c r="G346" s="5" t="n">
        <x:v>6.46</x:v>
      </x:c>
      <x:c r="H346" s="2" t="str">
        <x:v>Action, Adventure, Science Fiction</x:v>
      </x:c>
      <x:c r="I346" s="6" t="str">
        <x:v>/qFmwhVUoUSXjkKRmca5yGDEXBIj.jpg</x:v>
      </x:c>
      <x:c r="J346" s="7" t="str">
        <x:v>https://image.tmdb.org/t/p/w342/qFmwhVUoUSXjkKRmca5yGDEXBIj.jpg</x:v>
      </x:c>
      <x:c r="K346" s="3" t="e">
        <x:f>IMAGE(J346)</x:f>
      </x:c>
      <x:c r="L346" s="8" t="n">
        <x:v>139</x:v>
      </x:c>
      <x:c r="M346" s="46" t="str">
        <x:v>The seemingly invincible Spider-Man goes up against an all-new crop of villains—including the shape-shifting Sandman. While Spider-Man’s superpowers are altered by an alien organism, his alter ego, Peter Parker, deals with nemesis Eddie Brock and also gets caught up in a love triangle.</x:v>
      </x:c>
      <x:c r="N346" s="2" t="n">
        <x:v>39203</x:v>
      </x:c>
      <x:c r="O346" s="2" t="str">
        <x:v>Unwatched</x:v>
      </x:c>
      <x:c r="P346" s="9"/>
      <x:c r="Q346" s="6"/>
      <x:c r="R346" s="2" t="str">
        <x:v>https://www.themoviedb.org/movie/559</x:v>
      </x:c>
      <x:c r="S346" s="10" t="str">
        <x:v>Matched</x:v>
      </x:c>
    </x:row>
    <x:row r="347" ht="90" customHeight="1">
      <x:c r="A347" s="2" t="str">
        <x:v>Stan Helsing (2009)</x:v>
      </x:c>
      <x:c r="B347" s="2" t="str">
        <x:v>Stan Helsing</x:v>
      </x:c>
      <x:c r="C347" s="3" t="n">
        <x:v>2009</x:v>
      </x:c>
      <x:c r="D347" s="2" t="str">
        <x:v>Blu-ray</x:v>
      </x:c>
      <x:c r="E347" s="4"/>
      <x:c r="F347" s="3" t="n">
        <x:v>23988</x:v>
      </x:c>
      <x:c r="G347" s="5" t="n">
        <x:v>4.216</x:v>
      </x:c>
      <x:c r="H347" s="2" t="str">
        <x:v>Comedy, Horror</x:v>
      </x:c>
      <x:c r="I347" s="6" t="str">
        <x:v>/qDlmKahejt0NoQzw65tnLayEhHZ.jpg</x:v>
      </x:c>
      <x:c r="J347" s="7" t="str">
        <x:v>https://image.tmdb.org/t/p/w342/qDlmKahejt0NoQzw65tnLayEhHZ.jpg</x:v>
      </x:c>
      <x:c r="K347" s="3" t="e">
        <x:f>IMAGE(J347)</x:f>
      </x:c>
      <x:c r="L347" s="8" t="n">
        <x:v>90</x:v>
      </x:c>
      <x:c r="M347" s="46" t="str">
        <x:v>A spoof on many horror movie series. Ending his shift at the video rental, Stan's picked up by his BFF and 2 cute girls, all going to a Halloween party. Will they even get there?</x:v>
      </x:c>
      <x:c r="N347" s="2" t="n">
        <x:v>40109</x:v>
      </x:c>
      <x:c r="O347" s="2" t="str">
        <x:v>Unwatched</x:v>
      </x:c>
      <x:c r="P347" s="9"/>
      <x:c r="Q347" s="6"/>
      <x:c r="R347" s="2" t="str">
        <x:v>https://www.themoviedb.org/movie/23988</x:v>
      </x:c>
      <x:c r="S347" s="10" t="str">
        <x:v>Matched</x:v>
      </x:c>
    </x:row>
    <x:row r="348" ht="90" customHeight="1">
      <x:c r="A348" s="2" t="str">
        <x:v>Star Wars: Episode I - The Phantom Menace (1999)</x:v>
      </x:c>
      <x:c r="B348" s="2" t="str">
        <x:v>Star Wars: Episode I - The Phantom Menace</x:v>
      </x:c>
      <x:c r="C348" s="3" t="n">
        <x:v>1999</x:v>
      </x:c>
      <x:c r="D348" s="2" t="str">
        <x:v>Blu-ray</x:v>
      </x:c>
      <x:c r="E348" s="4"/>
      <x:c r="F348" s="3" t="n">
        <x:v>1893</x:v>
      </x:c>
      <x:c r="G348" s="5" t="n">
        <x:v>6.577</x:v>
      </x:c>
      <x:c r="H348" s="2" t="str">
        <x:v>Adventure, Action, Science Fiction</x:v>
      </x:c>
      <x:c r="I348" s="6" t="str">
        <x:v>/6wkfovpn7Eq8dYNKaG5PY3q2oq6.jpg</x:v>
      </x:c>
      <x:c r="J348" s="7" t="str">
        <x:v>https://image.tmdb.org/t/p/w342/6wkfovpn7Eq8dYNKaG5PY3q2oq6.jpg</x:v>
      </x:c>
      <x:c r="K348" s="3" t="e">
        <x:f>IMAGE(J348)</x:f>
      </x:c>
      <x:c r="L348" s="8" t="n">
        <x:v>136</x:v>
      </x:c>
      <x:c r="M348" s="46" t="str">
        <x:v>Anakin Skywalker, a young slave strong with the Force, is discovered on Tatooine. Meanwhile, the evil Sith have returned, enacting their plot for revenge against the Jedi.</x:v>
      </x:c>
      <x:c r="N348" s="2" t="n">
        <x:v>36299</x:v>
      </x:c>
      <x:c r="O348" s="2" t="str">
        <x:v>Unwatched</x:v>
      </x:c>
      <x:c r="P348" s="9"/>
      <x:c r="Q348" s="6"/>
      <x:c r="R348" s="2" t="str">
        <x:v>https://www.themoviedb.org/movie/1893</x:v>
      </x:c>
      <x:c r="S348" s="10" t="str">
        <x:v>Matched</x:v>
      </x:c>
    </x:row>
    <x:row r="349" ht="90" customHeight="1">
      <x:c r="A349" s="2" t="str">
        <x:v>Star Wars: Episode II - Attack of the Clones (2002)</x:v>
      </x:c>
      <x:c r="B349" s="2" t="str">
        <x:v>Star Wars: Episode II - Attack of the Clones</x:v>
      </x:c>
      <x:c r="C349" s="3" t="n">
        <x:v>2002</x:v>
      </x:c>
      <x:c r="D349" s="2" t="str">
        <x:v>Blu-ray</x:v>
      </x:c>
      <x:c r="E349" s="4"/>
      <x:c r="F349" s="3" t="n">
        <x:v>1894</x:v>
      </x:c>
      <x:c r="G349" s="5" t="n">
        <x:v>6.594</x:v>
      </x:c>
      <x:c r="H349" s="2" t="str">
        <x:v>Adventure, Action, Science Fiction</x:v>
      </x:c>
      <x:c r="I349" s="6" t="str">
        <x:v>/oZNPzxqM2s5DyVWab09NTQScDQt.jpg</x:v>
      </x:c>
      <x:c r="J349" s="7" t="str">
        <x:v>https://image.tmdb.org/t/p/w342/oZNPzxqM2s5DyVWab09NTQScDQt.jpg</x:v>
      </x:c>
      <x:c r="K349" s="3" t="e">
        <x:f>IMAGE(J349)</x:f>
      </x:c>
      <x:c r="L349" s="8" t="n">
        <x:v>142</x:v>
      </x:c>
      <x:c r="M349" s="46" t="str">
        <x:v>Following an assassination attempt on Senator Padmé Amidala, Jedi Knights Anakin Skywalker and Obi-Wan Kenobi investigate a mysterious plot into the heart of the Separatist movement and the beginning of the Clone Wars.</x:v>
      </x:c>
      <x:c r="N349" s="2" t="n">
        <x:v>37391</x:v>
      </x:c>
      <x:c r="O349" s="2" t="str">
        <x:v>Unwatched</x:v>
      </x:c>
      <x:c r="P349" s="9"/>
      <x:c r="Q349" s="6"/>
      <x:c r="R349" s="2" t="str">
        <x:v>https://www.themoviedb.org/movie/1894</x:v>
      </x:c>
      <x:c r="S349" s="10" t="str">
        <x:v>Matched</x:v>
      </x:c>
    </x:row>
    <x:row r="350" ht="90" customHeight="1">
      <x:c r="A350" s="2" t="str">
        <x:v>Star Wars: Episode III - Revenge of the Sith (2005)</x:v>
      </x:c>
      <x:c r="B350" s="2" t="str">
        <x:v>Star Wars: Episode III - Revenge of the Sith</x:v>
      </x:c>
      <x:c r="C350" s="3" t="n">
        <x:v>2005</x:v>
      </x:c>
      <x:c r="D350" s="2" t="str">
        <x:v>Blu-ray</x:v>
      </x:c>
      <x:c r="E350" s="4"/>
      <x:c r="F350" s="3" t="n">
        <x:v>1895</x:v>
      </x:c>
      <x:c r="G350" s="5" t="n">
        <x:v>7.467</x:v>
      </x:c>
      <x:c r="H350" s="2" t="str">
        <x:v>Adventure, Action, Science Fiction</x:v>
      </x:c>
      <x:c r="I350" s="6" t="str">
        <x:v>/xfSAoBEm9MNBjmlNcDYLvLSMlnq.jpg</x:v>
      </x:c>
      <x:c r="J350" s="7" t="str">
        <x:v>https://image.tmdb.org/t/p/w342/xfSAoBEm9MNBjmlNcDYLvLSMlnq.jpg</x:v>
      </x:c>
      <x:c r="K350" s="3" t="e">
        <x:f>IMAGE(J350)</x:f>
      </x:c>
      <x:c r="L350" s="8" t="n">
        <x:v>140</x:v>
      </x:c>
      <x:c r="M350" s="46" t="str">
        <x:v>When the sinister Sith unveil a thousand-year-old plot to rule the galaxy, the Republic crumbles and from its ashes rises the evil Galactic Empire. Jedi hero Anakin Skywalker must choose a side.</x:v>
      </x:c>
      <x:c r="N350" s="2" t="n">
        <x:v>38489</x:v>
      </x:c>
      <x:c r="O350" s="2" t="str">
        <x:v>Unwatched</x:v>
      </x:c>
      <x:c r="P350" s="9"/>
      <x:c r="Q350" s="6"/>
      <x:c r="R350" s="2" t="str">
        <x:v>https://www.themoviedb.org/movie/1895</x:v>
      </x:c>
      <x:c r="S350" s="10" t="str">
        <x:v>Matched</x:v>
      </x:c>
    </x:row>
    <x:row r="351" ht="90" customHeight="1">
      <x:c r="A351" s="2" t="str">
        <x:v>Star Wars: Episode IV - A New Hope (1977)</x:v>
      </x:c>
      <x:c r="B351" s="2" t="str">
        <x:v>Star Wars: Episode IV - A New Hope</x:v>
      </x:c>
      <x:c r="C351" s="3" t="n">
        <x:v>1977</x:v>
      </x:c>
      <x:c r="D351" s="2" t="str">
        <x:v>Blu-ray</x:v>
      </x:c>
      <x:c r="E351" s="4"/>
      <x:c r="F351" s="3" t="n">
        <x:v>11</x:v>
      </x:c>
      <x:c r="G351" s="5" t="n">
        <x:v>8.205</x:v>
      </x:c>
      <x:c r="H351" s="2" t="str">
        <x:v>Adventure, Action, Science Fiction</x:v>
      </x:c>
      <x:c r="I351" s="6" t="str">
        <x:v>/6FfCtAuVAW8XJjZ7eWeLibRLWTw.jpg</x:v>
      </x:c>
      <x:c r="J351" s="7" t="str">
        <x:v>https://image.tmdb.org/t/p/w342/6FfCtAuVAW8XJjZ7eWeLibRLWTw.jpg</x:v>
      </x:c>
      <x:c r="K351" s="3" t="e">
        <x:f>IMAGE(J351)</x:f>
      </x:c>
      <x:c r="L351" s="8" t="n">
        <x:v>121</x:v>
      </x:c>
      <x:c r="M351" s="46" t="str">
        <x: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x:v>
      </x:c>
      <x:c r="N351" s="2" t="n">
        <x:v>28270</x:v>
      </x:c>
      <x:c r="O351" s="2" t="str">
        <x:v>Unwatched</x:v>
      </x:c>
      <x:c r="P351" s="9"/>
      <x:c r="Q351" s="6"/>
      <x:c r="R351" s="2" t="str">
        <x:v>https://www.themoviedb.org/movie/11</x:v>
      </x:c>
      <x:c r="S351" s="10" t="str">
        <x:v>Matched</x:v>
      </x:c>
    </x:row>
    <x:row r="352" ht="90" customHeight="1">
      <x:c r="A352" s="2" t="str">
        <x:v>Star Wars: Episode V - The Empire Strikes Back (1980)</x:v>
      </x:c>
      <x:c r="B352" s="2" t="str">
        <x:v>Star Wars: Episode V - The Empire Strikes Back</x:v>
      </x:c>
      <x:c r="C352" s="3" t="n">
        <x:v>1980</x:v>
      </x:c>
      <x:c r="D352" s="2" t="str">
        <x:v>Blu-ray</x:v>
      </x:c>
      <x:c r="E352" s="4"/>
      <x:c r="F352" s="3" t="n">
        <x:v>1891</x:v>
      </x:c>
      <x:c r="G352" s="5" t="n">
        <x:v>8.4</x:v>
      </x:c>
      <x:c r="H352" s="2" t="str">
        <x:v>Adventure, Action, Science Fiction</x:v>
      </x:c>
      <x:c r="I352" s="6" t="str">
        <x:v>/nNAeTmF4CtdSgMDplXTDPOpYzsX.jpg</x:v>
      </x:c>
      <x:c r="J352" s="7" t="str">
        <x:v>https://image.tmdb.org/t/p/w342/nNAeTmF4CtdSgMDplXTDPOpYzsX.jpg</x:v>
      </x:c>
      <x:c r="K352" s="3" t="e">
        <x:f>IMAGE(J352)</x:f>
      </x:c>
      <x:c r="L352" s="8" t="n">
        <x:v>124</x:v>
      </x:c>
      <x:c r="M352" s="46" t="str">
        <x: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x:v>
      </x:c>
      <x:c r="N352" s="2" t="n">
        <x:v>29361</x:v>
      </x:c>
      <x:c r="O352" s="2" t="str">
        <x:v>Unwatched</x:v>
      </x:c>
      <x:c r="P352" s="9"/>
      <x:c r="Q352" s="6"/>
      <x:c r="R352" s="2" t="str">
        <x:v>https://www.themoviedb.org/movie/1891</x:v>
      </x:c>
      <x:c r="S352" s="10" t="str">
        <x:v>Matched</x:v>
      </x:c>
    </x:row>
    <x:row r="353" ht="90" customHeight="1">
      <x:c r="A353" s="2" t="str">
        <x:v>Star Wars: Episode VI - Return of the Jedi (1983)</x:v>
      </x:c>
      <x:c r="B353" s="2" t="str">
        <x:v>Star Wars: Episode VI - Return of the Jedi</x:v>
      </x:c>
      <x:c r="C353" s="3" t="n">
        <x:v>1983</x:v>
      </x:c>
      <x:c r="D353" s="2" t="str">
        <x:v>Blu-ray</x:v>
      </x:c>
      <x:c r="E353" s="4"/>
      <x:c r="F353" s="3" t="n">
        <x:v>1892</x:v>
      </x:c>
      <x:c r="G353" s="5" t="n">
        <x:v>7.908</x:v>
      </x:c>
      <x:c r="H353" s="2" t="str">
        <x:v>Adventure, Action, Science Fiction</x:v>
      </x:c>
      <x:c r="I353" s="6" t="str">
        <x:v>/jQYlydvHm3kUix1f8prMucrplhm.jpg</x:v>
      </x:c>
      <x:c r="J353" s="7" t="str">
        <x:v>https://image.tmdb.org/t/p/w342/jQYlydvHm3kUix1f8prMucrplhm.jpg</x:v>
      </x:c>
      <x:c r="K353" s="3" t="e">
        <x:f>IMAGE(J353)</x:f>
      </x:c>
      <x:c r="L353" s="8" t="n">
        <x:v>132</x:v>
      </x:c>
      <x:c r="M353" s="46" t="str">
        <x:v>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x:v>
      </x:c>
      <x:c r="N353" s="2" t="n">
        <x:v>30461</x:v>
      </x:c>
      <x:c r="O353" s="2" t="str">
        <x:v>Unwatched</x:v>
      </x:c>
      <x:c r="P353" s="9"/>
      <x:c r="Q353" s="6"/>
      <x:c r="R353" s="2" t="str">
        <x:v>https://www.themoviedb.org/movie/1892</x:v>
      </x:c>
      <x:c r="S353" s="10" t="str">
        <x:v>Matched</x:v>
      </x:c>
    </x:row>
    <x:row r="354" ht="90" customHeight="1">
      <x:c r="A354" s="2" t="str">
        <x:v>The Strangers (2008)</x:v>
      </x:c>
      <x:c r="B354" s="2" t="str">
        <x:v>The Strangers</x:v>
      </x:c>
      <x:c r="C354" s="3" t="n">
        <x:v>2008</x:v>
      </x:c>
      <x:c r="D354" s="2" t="str">
        <x:v>Blu-ray</x:v>
      </x:c>
      <x:c r="E354" s="4"/>
      <x:c r="F354" s="3" t="n">
        <x:v>10665</x:v>
      </x:c>
      <x:c r="G354" s="5" t="n">
        <x:v>6.123</x:v>
      </x:c>
      <x:c r="H354" s="2" t="str">
        <x:v>Horror</x:v>
      </x:c>
      <x:c r="I354" s="6" t="str">
        <x:v>/gwsg4qFmLOvlhwXj4OZuxfFUdP0.jpg</x:v>
      </x:c>
      <x:c r="J354" s="7" t="str">
        <x:v>https://image.tmdb.org/t/p/w342/gwsg4qFmLOvlhwXj4OZuxfFUdP0.jpg</x:v>
      </x:c>
      <x:c r="K354" s="3" t="e">
        <x:f>IMAGE(J354)</x:f>
      </x:c>
      <x:c r="L354" s="8" t="n">
        <x:v>86</x:v>
      </x:c>
      <x:c r="M354" s="46" t="str">
        <x:v>After a 4 a.m. knock at the door and haunting voices, Kristen McKay and James Hoyt’s remote getaway becomes a psychological night of terror as three masked strangers invade. Now they must go far beyond what they thought themselves capable of if they hope to survive.</x:v>
      </x:c>
      <x:c r="N354" s="2" t="n">
        <x:v>39597</x:v>
      </x:c>
      <x:c r="O354" s="2" t="str">
        <x:v>Unwatched</x:v>
      </x:c>
      <x:c r="P354" s="9"/>
      <x:c r="Q354" s="6"/>
      <x:c r="R354" s="2" t="str">
        <x:v>https://www.themoviedb.org/movie/10665</x:v>
      </x:c>
      <x:c r="S354" s="10" t="str">
        <x:v>Matched</x:v>
      </x:c>
    </x:row>
    <x:row r="355" ht="90" customHeight="1">
      <x:c r="A355" s="2" t="str">
        <x:v>The Substance (2024)</x:v>
      </x:c>
      <x:c r="B355" s="2" t="str">
        <x:v>The Substance</x:v>
      </x:c>
      <x:c r="C355" s="3" t="n">
        <x:v>2024</x:v>
      </x:c>
      <x:c r="D355" s="2" t="str">
        <x:v>Blu-ray</x:v>
      </x:c>
      <x:c r="E355" s="4"/>
      <x:c r="F355" s="3" t="n">
        <x:v>933260</x:v>
      </x:c>
      <x:c r="G355" s="5" t="n">
        <x:v>7.135</x:v>
      </x:c>
      <x:c r="H355" s="2" t="str">
        <x:v>Horror, Science Fiction, Thriller</x:v>
      </x:c>
      <x:c r="I355" s="6" t="str">
        <x:v>/lqoMzCcZYEFK729d6qzt349fB4o.jpg</x:v>
      </x:c>
      <x:c r="J355" s="7" t="str">
        <x:v>https://image.tmdb.org/t/p/w342/lqoMzCcZYEFK729d6qzt349fB4o.jpg</x:v>
      </x:c>
      <x:c r="K355" s="3" t="e">
        <x:f>IMAGE(J355)</x:f>
      </x:c>
      <x:c r="L355" s="8" t="n">
        <x:v>141</x:v>
      </x:c>
      <x:c r="M355" s="46" t="str">
        <x:v>A fading celebrity decides to use a black market drug, a cell-replicating substance that temporarily creates a younger, better version of herself.</x:v>
      </x:c>
      <x:c r="N355" s="2" t="n">
        <x:v>45542</x:v>
      </x:c>
      <x:c r="O355" s="2" t="str">
        <x:v>Unwatched</x:v>
      </x:c>
      <x:c r="P355" s="9"/>
      <x:c r="Q355" s="6"/>
      <x:c r="R355" s="2" t="str">
        <x:v>https://www.themoviedb.org/movie/933260</x:v>
      </x:c>
      <x:c r="S355" s="10" t="str">
        <x:v>Matched</x:v>
      </x:c>
    </x:row>
    <x:row r="356" ht="90" customHeight="1">
      <x:c r="A356" s="2" t="str">
        <x:v>Summer of 84 (2018)</x:v>
      </x:c>
      <x:c r="B356" s="2" t="str">
        <x:v>Summer of 84</x:v>
      </x:c>
      <x:c r="C356" s="3" t="n">
        <x:v>2018</x:v>
      </x:c>
      <x:c r="D356" s="2" t="str">
        <x:v>Blu-ray</x:v>
      </x:c>
      <x:c r="E356" s="4"/>
      <x:c r="F356" s="3" t="n">
        <x:v>470229</x:v>
      </x:c>
      <x:c r="G356" s="5" t="n">
        <x:v>6.9</x:v>
      </x:c>
      <x:c r="H356" s="2" t="str">
        <x:v>Drama, Horror, Mystery</x:v>
      </x:c>
      <x:c r="I356" s="6" t="str">
        <x:v>/zastd8zM2ftOJpC7Y6gRFqAB7r.jpg</x:v>
      </x:c>
      <x:c r="J356" s="7" t="str">
        <x:v>https://image.tmdb.org/t/p/w342/zastd8zM2ftOJpC7Y6gRFqAB7r.jpg</x:v>
      </x:c>
      <x:c r="K356" s="3" t="e">
        <x:f>IMAGE(J356)</x:f>
      </x:c>
      <x:c r="L356" s="8" t="n">
        <x:v>106</x:v>
      </x:c>
      <x:c r="M356" s="46" t="str">
        <x:v>After suspecting that their police officer neighbor is a serial killer, a group of teenage friends spend their summer spying on him and gathering evidence, but as they get closer to discovering the truth, things get dangerous.</x:v>
      </x:c>
      <x:c r="N356" s="2" t="n">
        <x:v>43322</x:v>
      </x:c>
      <x:c r="O356" s="2" t="str">
        <x:v>Unwatched</x:v>
      </x:c>
      <x:c r="P356" s="9"/>
      <x:c r="Q356" s="6"/>
      <x:c r="R356" s="2" t="str">
        <x:v>https://www.themoviedb.org/movie/470229</x:v>
      </x:c>
      <x:c r="S356" s="10" t="str">
        <x:v>Matched</x:v>
      </x:c>
    </x:row>
    <x:row r="357" ht="90" customHeight="1">
      <x:c r="A357" s="2" t="str">
        <x:v>Super 8 (2011)</x:v>
      </x:c>
      <x:c r="B357" s="2" t="str">
        <x:v>Super 8</x:v>
      </x:c>
      <x:c r="C357" s="3" t="n">
        <x:v>2011</x:v>
      </x:c>
      <x:c r="D357" s="2" t="str">
        <x:v>Blu-ray</x:v>
      </x:c>
      <x:c r="E357" s="4"/>
      <x:c r="F357" s="3" t="n">
        <x:v>37686</x:v>
      </x:c>
      <x:c r="G357" s="5" t="n">
        <x:v>6.776</x:v>
      </x:c>
      <x:c r="H357" s="2" t="str">
        <x:v>Thriller, Science Fiction, Mystery</x:v>
      </x:c>
      <x:c r="I357" s="6" t="str">
        <x:v>/pUWIjaMMYJjeBm5bJyE3mIXdQ62.jpg</x:v>
      </x:c>
      <x:c r="J357" s="7" t="str">
        <x:v>https://image.tmdb.org/t/p/w342/pUWIjaMMYJjeBm5bJyE3mIXdQ62.jpg</x:v>
      </x:c>
      <x:c r="K357" s="3" t="e">
        <x:f>IMAGE(J357)</x:f>
      </x:c>
      <x:c r="L357" s="8" t="n">
        <x:v>112</x:v>
      </x:c>
      <x:c r="M357" s="46" t="str">
        <x:v>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x:v>
      </x:c>
      <x:c r="N357" s="2" t="n">
        <x:v>40703</x:v>
      </x:c>
      <x:c r="O357" s="2" t="str">
        <x:v>Unwatched</x:v>
      </x:c>
      <x:c r="P357" s="9"/>
      <x:c r="Q357" s="6"/>
      <x:c r="R357" s="2" t="str">
        <x:v>https://www.themoviedb.org/movie/37686</x:v>
      </x:c>
      <x:c r="S357" s="10" t="str">
        <x:v>Matched</x:v>
      </x:c>
    </x:row>
    <x:row r="358" ht="90" customHeight="1">
      <x:c r="A358" s="2" t="str">
        <x:v>The Super Mario Galaxy Movie (2026)</x:v>
      </x:c>
      <x:c r="B358" s="2" t="str">
        <x:v>The Super Mario Galaxy Movie</x:v>
      </x:c>
      <x:c r="C358" s="3" t="n">
        <x:v>2026</x:v>
      </x:c>
      <x:c r="D358" s="2" t="str">
        <x:v>Blu-ray</x:v>
      </x:c>
      <x:c r="E358" s="4"/>
      <x:c r="F358" s="3" t="n">
        <x:v>1226863</x:v>
      </x:c>
      <x:c r="G358" s="5" t="n">
        <x:v>8.019</x:v>
      </x:c>
      <x:c r="H358" s="2" t="str">
        <x:v>Family, Comedy, Adventure, Fantasy, Animation</x:v>
      </x:c>
      <x:c r="I358" s="6" t="str">
        <x:v>/eJGWx219ZcEMVQJhAgMiqo8tYY.jpg</x:v>
      </x:c>
      <x:c r="J358" s="7" t="str">
        <x:v>https://image.tmdb.org/t/p/w342/eJGWx219ZcEMVQJhAgMiqo8tYY.jpg</x:v>
      </x:c>
      <x:c r="K358" s="3" t="e">
        <x:f>IMAGE(J358)</x:f>
      </x:c>
      <x:c r="L358" s="8" t="n">
        <x:v>98</x:v>
      </x:c>
      <x:c r="M358" s="46" t="str">
        <x:v>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x:v>
      </x:c>
      <x:c r="N358" s="2" t="n">
        <x:v>46113</x:v>
      </x:c>
      <x:c r="O358" s="2" t="str">
        <x:v>Unwatched</x:v>
      </x:c>
      <x:c r="P358" s="9"/>
      <x:c r="Q358" s="6"/>
      <x:c r="R358" s="2" t="str">
        <x:v>https://www.themoviedb.org/movie/1226863</x:v>
      </x:c>
      <x:c r="S358" s="10" t="str">
        <x:v>Matched</x:v>
      </x:c>
    </x:row>
    <x:row r="359" ht="90" customHeight="1">
      <x:c r="A359" s="2" t="str">
        <x:v>Superbad (2007)</x:v>
      </x:c>
      <x:c r="B359" s="2" t="str">
        <x:v>Superbad</x:v>
      </x:c>
      <x:c r="C359" s="3" t="n">
        <x:v>2007</x:v>
      </x:c>
      <x:c r="D359" s="2" t="str">
        <x:v>Blu-ray</x:v>
      </x:c>
      <x:c r="E359" s="4"/>
      <x:c r="F359" s="3" t="n">
        <x:v>8363</x:v>
      </x:c>
      <x:c r="G359" s="5" t="n">
        <x:v>7.3</x:v>
      </x:c>
      <x:c r="H359" s="2" t="str">
        <x:v>Comedy</x:v>
      </x:c>
      <x:c r="I359" s="6" t="str">
        <x:v>/ek8e8txUyUwd2BNqj6lFEerJfbq.jpg</x:v>
      </x:c>
      <x:c r="J359" s="7" t="str">
        <x:v>https://image.tmdb.org/t/p/w342/ek8e8txUyUwd2BNqj6lFEerJfbq.jpg</x:v>
      </x:c>
      <x:c r="K359" s="3" t="e">
        <x:f>IMAGE(J359)</x:f>
      </x:c>
      <x:c r="L359" s="8" t="n">
        <x:v>113</x:v>
      </x:c>
      <x:c r="M359" s="46" t="str">
        <x:v>Two co-dependent high school seniors are forced to deal with separation anxiety after their plan to stage a booze-soaked party goes awry.</x:v>
      </x:c>
      <x:c r="N359" s="2" t="n">
        <x:v>39311</x:v>
      </x:c>
      <x:c r="O359" s="2" t="str">
        <x:v>Unwatched</x:v>
      </x:c>
      <x:c r="P359" s="9"/>
      <x:c r="Q359" s="6"/>
      <x:c r="R359" s="2" t="str">
        <x:v>https://www.themoviedb.org/movie/8363</x:v>
      </x:c>
      <x:c r="S359" s="10" t="str">
        <x:v>Matched</x:v>
      </x:c>
    </x:row>
    <x:row r="360" ht="90" customHeight="1">
      <x:c r="A360" s="2" t="str">
        <x:v>Superman (2025)</x:v>
      </x:c>
      <x:c r="B360" s="2" t="str">
        <x:v>Superman</x:v>
      </x:c>
      <x:c r="C360" s="3" t="n">
        <x:v>2025</x:v>
      </x:c>
      <x:c r="D360" s="2" t="str">
        <x:v>Blu-ray</x:v>
      </x:c>
      <x:c r="E360" s="4"/>
      <x:c r="F360" s="3" t="n">
        <x:v>1061474</x:v>
      </x:c>
      <x:c r="G360" s="5" t="n">
        <x:v>7.344</x:v>
      </x:c>
      <x:c r="H360" s="2" t="str">
        <x:v>Science Fiction, Adventure, Action</x:v>
      </x:c>
      <x:c r="I360" s="6" t="str">
        <x:v>/ldyfo0BKmz5rWtJJKCvwaNS4cJT.jpg</x:v>
      </x:c>
      <x:c r="J360" s="7" t="str">
        <x:v>https://image.tmdb.org/t/p/w342/ldyfo0BKmz5rWtJJKCvwaNS4cJT.jpg</x:v>
      </x:c>
      <x:c r="K360" s="3" t="e">
        <x:f>IMAGE(J360)</x:f>
      </x:c>
      <x:c r="L360" s="8" t="n">
        <x:v>130</x:v>
      </x:c>
      <x:c r="M360" s="46" t="str">
        <x:v>Superman, a journalist in Metropolis, embarks on a journey to reconcile his Kryptonian heritage with his human upbringing as Clark Kent.</x:v>
      </x:c>
      <x:c r="N360" s="2" t="n">
        <x:v>45847</x:v>
      </x:c>
      <x:c r="O360" s="2" t="str">
        <x:v>Unwatched</x:v>
      </x:c>
      <x:c r="P360" s="9"/>
      <x:c r="Q360" s="6"/>
      <x:c r="R360" s="2" t="str">
        <x:v>https://www.themoviedb.org/movie/1061474</x:v>
      </x:c>
      <x:c r="S360" s="10" t="str">
        <x:v>Matched</x:v>
      </x:c>
    </x:row>
    <x:row r="361" ht="90" customHeight="1">
      <x:c r="A361" s="2" t="str">
        <x:v>Taken 2 (2012)</x:v>
      </x:c>
      <x:c r="B361" s="2" t="str">
        <x:v>Taken 2</x:v>
      </x:c>
      <x:c r="C361" s="3" t="n">
        <x:v>2012</x:v>
      </x:c>
      <x:c r="D361" s="2" t="str">
        <x:v>Blu-ray</x:v>
      </x:c>
      <x:c r="E361" s="4"/>
      <x:c r="F361" s="3" t="n">
        <x:v>82675</x:v>
      </x:c>
      <x:c r="G361" s="5" t="n">
        <x:v>6.366</x:v>
      </x:c>
      <x:c r="H361" s="2" t="str">
        <x:v>Action, Crime, Thriller</x:v>
      </x:c>
      <x:c r="I361" s="6" t="str">
        <x:v>/yzAlcuJhpnxRPjaj7AHBRbNPQCJ.jpg</x:v>
      </x:c>
      <x:c r="J361" s="7" t="str">
        <x:v>https://image.tmdb.org/t/p/w342/yzAlcuJhpnxRPjaj7AHBRbNPQCJ.jpg</x:v>
      </x:c>
      <x:c r="K361" s="3" t="e">
        <x:f>IMAGE(J361)</x:f>
      </x:c>
      <x:c r="L361" s="8" t="n">
        <x:v>91</x:v>
      </x:c>
      <x:c r="M361" s="46" t="str">
        <x:v>In Istanbul, retired CIA operative Bryan Mills and his wife are taken hostage by the father of a kidnapper Mills killed while rescuing his daughter.</x:v>
      </x:c>
      <x:c r="N361" s="2" t="n">
        <x:v>41179</x:v>
      </x:c>
      <x:c r="O361" s="2" t="str">
        <x:v>Unwatched</x:v>
      </x:c>
      <x:c r="P361" s="9"/>
      <x:c r="Q361" s="6"/>
      <x:c r="R361" s="2" t="str">
        <x:v>https://www.themoviedb.org/movie/82675</x:v>
      </x:c>
      <x:c r="S361" s="10" t="str">
        <x:v>Matched</x:v>
      </x:c>
    </x:row>
    <x:row r="362" ht="90" customHeight="1">
      <x:c r="A362" s="2" t="str">
        <x:v>The Taking of Deborah Logan (2014)</x:v>
      </x:c>
      <x:c r="B362" s="2" t="str">
        <x:v>The Taking of Deborah Logan</x:v>
      </x:c>
      <x:c r="C362" s="3" t="n">
        <x:v>2014</x:v>
      </x:c>
      <x:c r="D362" s="2" t="str">
        <x:v>Blu-ray</x:v>
      </x:c>
      <x:c r="E362" s="4"/>
      <x:c r="F362" s="3" t="n">
        <x:v>297608</x:v>
      </x:c>
      <x:c r="G362" s="5" t="n">
        <x:v>6.5</x:v>
      </x:c>
      <x:c r="H362" s="2" t="str">
        <x:v>Horror, Mystery, Thriller</x:v>
      </x:c>
      <x:c r="I362" s="6" t="str">
        <x:v>/77i7EBUyQKOUiZeYQ5tWDGQb0AI.jpg</x:v>
      </x:c>
      <x:c r="J362" s="7" t="str">
        <x:v>https://image.tmdb.org/t/p/w342/77i7EBUyQKOUiZeYQ5tWDGQb0AI.jpg</x:v>
      </x:c>
      <x:c r="K362" s="3" t="e">
        <x:f>IMAGE(J362)</x:f>
      </x:c>
      <x:c r="L362" s="8" t="n">
        <x:v>90</x:v>
      </x:c>
      <x:c r="M362" s="46" t="str">
        <x:v>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x:v>
      </x:c>
      <x:c r="N362" s="2" t="n">
        <x:v>41933</x:v>
      </x:c>
      <x:c r="O362" s="2" t="str">
        <x:v>Unwatched</x:v>
      </x:c>
      <x:c r="P362" s="9"/>
      <x:c r="Q362" s="6"/>
      <x:c r="R362" s="2" t="str">
        <x:v>https://www.themoviedb.org/movie/297608</x:v>
      </x:c>
      <x:c r="S362" s="10" t="str">
        <x:v>Matched</x:v>
      </x:c>
    </x:row>
    <x:row r="363" ht="90" customHeight="1">
      <x:c r="A363" s="2" t="str">
        <x:v>Talk to Me (2022)</x:v>
      </x:c>
      <x:c r="B363" s="2" t="str">
        <x:v>Talk to Me</x:v>
      </x:c>
      <x:c r="C363" s="3" t="n">
        <x:v>2022</x:v>
      </x:c>
      <x:c r="D363" s="2" t="str">
        <x:v>Blu-ray</x:v>
      </x:c>
      <x:c r="E363" s="4"/>
      <x:c r="F363" s="7" t="n">
        <x:v>1118584</x:v>
      </x:c>
      <x:c r="G363" s="5"/>
      <x:c r="H363" s="2" t="str">
        <x:v>Drama</x:v>
      </x:c>
      <x:c r="I363" s="6" t="str">
        <x:v>/9t7gUKSxXjvQpgHdC7VUhJ1BTBK.jpg</x:v>
      </x:c>
      <x:c r="J363" s="7" t="str">
        <x:v>https://image.tmdb.org/t/p/w342/9t7gUKSxXjvQpgHdC7VUhJ1BTBK.jpg</x:v>
      </x:c>
      <x:c r="K363" s="3" t="e">
        <x:f>IMAGE(J363)</x:f>
      </x:c>
      <x:c r="L363" s="8" t="n">
        <x:v>21</x:v>
      </x:c>
      <x:c r="M363" s="46" t="str">
        <x:v>Farid, who works abroad, locks himself on the last day of his stay in Beirut in his son Rawad's room, to find what he is hiding there. Separated by a locked door, the dysfunctional dynamic between them intensifies, and the past resurfaces.</x:v>
      </x:c>
      <x:c r="N363" s="2" t="n">
        <x:v>44858</x:v>
      </x:c>
      <x:c r="O363" s="2" t="str">
        <x:v>Unwatched</x:v>
      </x:c>
      <x:c r="P363" s="9"/>
      <x:c r="Q363" s="6"/>
      <x:c r="R363" s="2" t="str">
        <x:v>https://www.themoviedb.org/movie/1118584</x:v>
      </x:c>
      <x:c r="S363" s="10" t="str">
        <x:v>Matched</x:v>
      </x:c>
    </x:row>
    <x:row r="364" ht="90" customHeight="1">
      <x:c r="A364" s="2" t="str">
        <x:v>Tangled (2010)</x:v>
      </x:c>
      <x:c r="B364" s="2" t="str">
        <x:v>Tangled</x:v>
      </x:c>
      <x:c r="C364" s="3" t="n">
        <x:v>2010</x:v>
      </x:c>
      <x:c r="D364" s="2" t="str">
        <x:v>Blu-ray</x:v>
      </x:c>
      <x:c r="E364" s="4"/>
      <x:c r="F364" s="3" t="n">
        <x:v>38757</x:v>
      </x:c>
      <x:c r="G364" s="5" t="n">
        <x:v>7.611</x:v>
      </x:c>
      <x:c r="H364" s="2" t="str">
        <x:v>Animation, Family, Adventure</x:v>
      </x:c>
      <x:c r="I364" s="6" t="str">
        <x:v>/ym7Kst6a4uodryxqbGOxmewF235.jpg</x:v>
      </x:c>
      <x:c r="J364" s="7" t="str">
        <x:v>https://image.tmdb.org/t/p/w342/ym7Kst6a4uodryxqbGOxmewF235.jpg</x:v>
      </x:c>
      <x:c r="K364" s="3" t="e">
        <x:f>IMAGE(J364)</x:f>
      </x:c>
      <x:c r="L364" s="8" t="n">
        <x:v>100</x:v>
      </x:c>
      <x:c r="M364" s="46" t="str">
        <x:v>Feisty teenager Rapunzel, who has long and magical hair, wants to go and see sky lanterns on her eighteenth birthday, but she's bound to a tower by her overprotective mother. She strikes a deal with Flynn Rider, a charming wanted thief, and the duo set off on an action-packed escapade.</x:v>
      </x:c>
      <x:c r="N364" s="2" t="n">
        <x:v>40506</x:v>
      </x:c>
      <x:c r="O364" s="2" t="str">
        <x:v>Unwatched</x:v>
      </x:c>
      <x:c r="P364" s="9"/>
      <x:c r="Q364" s="6"/>
      <x:c r="R364" s="2" t="str">
        <x:v>https://www.themoviedb.org/movie/38757</x:v>
      </x:c>
      <x:c r="S364" s="10" t="str">
        <x:v>Matched</x:v>
      </x:c>
    </x:row>
    <x:row r="365" ht="90" customHeight="1">
      <x:c r="A365" s="2" t="str">
        <x:v>Team America: World Police (2004)</x:v>
      </x:c>
      <x:c r="B365" s="2" t="str">
        <x:v>Team America: World Police</x:v>
      </x:c>
      <x:c r="C365" s="3" t="n">
        <x:v>2004</x:v>
      </x:c>
      <x:c r="D365" s="2" t="str">
        <x:v>Blu-ray</x:v>
      </x:c>
      <x:c r="E365" s="4"/>
      <x:c r="F365" s="3" t="n">
        <x:v>3989</x:v>
      </x:c>
      <x:c r="G365" s="5" t="n">
        <x:v>6.73</x:v>
      </x:c>
      <x:c r="H365" s="2" t="str">
        <x:v>Adventure, Action, Comedy</x:v>
      </x:c>
      <x:c r="I365" s="6" t="str">
        <x:v>/m1Q2VFe1DVVbjfu1LDZe7tlp9yb.jpg</x:v>
      </x:c>
      <x:c r="J365" s="7" t="str">
        <x:v>https://image.tmdb.org/t/p/w342/m1Q2VFe1DVVbjfu1LDZe7tlp9yb.jpg</x:v>
      </x:c>
      <x:c r="K365" s="3" t="e">
        <x:f>IMAGE(J365)</x:f>
      </x:c>
      <x:c r="L365" s="8" t="n">
        <x:v>98</x:v>
      </x:c>
      <x:c r="M365" s="46" t="str">
        <x:v>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x:v>
      </x:c>
      <x:c r="N365" s="2" t="n">
        <x:v>38270</x:v>
      </x:c>
      <x:c r="O365" s="2" t="str">
        <x:v>Unwatched</x:v>
      </x:c>
      <x:c r="P365" s="9"/>
      <x:c r="Q365" s="6"/>
      <x:c r="R365" s="2" t="str">
        <x:v>https://www.themoviedb.org/movie/3989</x:v>
      </x:c>
      <x:c r="S365" s="10" t="str">
        <x:v>Matched</x:v>
      </x:c>
    </x:row>
    <x:row r="366" ht="90" customHeight="1">
      <x:c r="A366" s="2" t="str">
        <x:v>Ted 2 (2015)</x:v>
      </x:c>
      <x:c r="B366" s="2" t="str">
        <x:v>Ted 2</x:v>
      </x:c>
      <x:c r="C366" s="3" t="n">
        <x:v>2015</x:v>
      </x:c>
      <x:c r="D366" s="2" t="str">
        <x:v>Blu-ray</x:v>
      </x:c>
      <x:c r="E366" s="4"/>
      <x:c r="F366" s="3" t="n">
        <x:v>214756</x:v>
      </x:c>
      <x:c r="G366" s="5" t="n">
        <x:v>6.322</x:v>
      </x:c>
      <x:c r="H366" s="2" t="str">
        <x:v>Comedy, Fantasy</x:v>
      </x:c>
      <x:c r="I366" s="6" t="str">
        <x:v>/38C91I7Xft0gyY7BITm8i4yvuRb.jpg</x:v>
      </x:c>
      <x:c r="J366" s="7" t="str">
        <x:v>https://image.tmdb.org/t/p/w342/38C91I7Xft0gyY7BITm8i4yvuRb.jpg</x:v>
      </x:c>
      <x:c r="K366" s="3" t="e">
        <x:f>IMAGE(J366)</x:f>
      </x:c>
      <x:c r="L366" s="8" t="n">
        <x:v>115</x:v>
      </x:c>
      <x:c r="M366" s="46" t="str">
        <x:v>Newlywed couple Ted and Tami-Lynn want to have a baby, but in order to qualify to be a parent, Ted will have to prove he's a person in a court of law.</x:v>
      </x:c>
      <x:c r="N366" s="2" t="n">
        <x:v>42180</x:v>
      </x:c>
      <x:c r="O366" s="2" t="str">
        <x:v>Unwatched</x:v>
      </x:c>
      <x:c r="P366" s="9"/>
      <x:c r="Q366" s="6"/>
      <x:c r="R366" s="2" t="str">
        <x:v>https://www.themoviedb.org/movie/214756</x:v>
      </x:c>
      <x:c r="S366" s="10" t="str">
        <x:v>Matched</x:v>
      </x:c>
    </x:row>
    <x:row r="367" ht="90" customHeight="1">
      <x:c r="A367" s="2" t="str">
        <x:v>Tenacious D in The Pick of Destiny (2006)</x:v>
      </x:c>
      <x:c r="B367" s="2" t="str">
        <x:v>Tenacious D in The Pick of Destiny</x:v>
      </x:c>
      <x:c r="C367" s="3" t="n">
        <x:v>2006</x:v>
      </x:c>
      <x:c r="D367" s="2" t="str">
        <x:v>Blu-ray</x:v>
      </x:c>
      <x:c r="E367" s="4"/>
      <x:c r="F367" s="3" t="n">
        <x:v>2179</x:v>
      </x:c>
      <x:c r="G367" s="5" t="n">
        <x:v>6.782</x:v>
      </x:c>
      <x:c r="H367" s="2" t="str">
        <x:v>Comedy, Music, Fantasy, Adventure</x:v>
      </x:c>
      <x:c r="I367" s="6" t="str">
        <x:v>/7NmDIj5I1OFOZfYFnS3uWtM7WMO.jpg</x:v>
      </x:c>
      <x:c r="J367" s="7" t="str">
        <x:v>https://image.tmdb.org/t/p/w342/7NmDIj5I1OFOZfYFnS3uWtM7WMO.jpg</x:v>
      </x:c>
      <x:c r="K367" s="3" t="e">
        <x:f>IMAGE(J367)</x:f>
      </x:c>
      <x:c r="L367" s="8" t="n">
        <x:v>93</x:v>
      </x:c>
      <x:c r="M367" s="46" t="str">
        <x:v>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x:v>
      </x:c>
      <x:c r="N367" s="2" t="n">
        <x:v>39043</x:v>
      </x:c>
      <x:c r="O367" s="2" t="str">
        <x:v>Unwatched</x:v>
      </x:c>
      <x:c r="P367" s="9"/>
      <x:c r="Q367" s="6"/>
      <x:c r="R367" s="2" t="str">
        <x:v>https://www.themoviedb.org/movie/2179</x:v>
      </x:c>
      <x:c r="S367" s="10" t="str">
        <x:v>Matched</x:v>
      </x:c>
    </x:row>
    <x:row r="368" ht="90" customHeight="1">
      <x:c r="A368" s="2" t="str">
        <x:v>Terminator 3: Rise of the Machines (2003)</x:v>
      </x:c>
      <x:c r="B368" s="2" t="str">
        <x:v>Terminator 3: Rise of the Machines</x:v>
      </x:c>
      <x:c r="C368" s="3" t="n">
        <x:v>2003</x:v>
      </x:c>
      <x:c r="D368" s="2" t="str">
        <x:v>Blu-ray</x:v>
      </x:c>
      <x:c r="E368" s="4"/>
      <x:c r="F368" s="3" t="n">
        <x:v>296</x:v>
      </x:c>
      <x:c r="G368" s="5" t="n">
        <x:v>6.192</x:v>
      </x:c>
      <x:c r="H368" s="2" t="str">
        <x:v>Action, Thriller, Science Fiction</x:v>
      </x:c>
      <x:c r="I368" s="6" t="str">
        <x:v>/vvevzdYIrk2636maNW4qeWmlPFG.jpg</x:v>
      </x:c>
      <x:c r="J368" s="7" t="str">
        <x:v>https://image.tmdb.org/t/p/w342/vvevzdYIrk2636maNW4qeWmlPFG.jpg</x:v>
      </x:c>
      <x:c r="K368" s="3" t="e">
        <x:f>IMAGE(J368)</x:f>
      </x:c>
      <x:c r="L368" s="8" t="n">
        <x:v>109</x:v>
      </x:c>
      <x:c r="M368" s="46" t="str">
        <x: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x:v>
      </x:c>
      <x:c r="N368" s="2" t="n">
        <x:v>37804</x:v>
      </x:c>
      <x:c r="O368" s="2" t="str">
        <x:v>Unwatched</x:v>
      </x:c>
      <x:c r="P368" s="9"/>
      <x:c r="Q368" s="6"/>
      <x:c r="R368" s="2" t="str">
        <x:v>https://www.themoviedb.org/movie/296</x:v>
      </x:c>
      <x:c r="S368" s="10" t="str">
        <x:v>Matched</x:v>
      </x:c>
    </x:row>
    <x:row r="369" ht="90" customHeight="1">
      <x:c r="A369" s="2" t="str">
        <x:v>Terrified (2017)</x:v>
      </x:c>
      <x:c r="B369" s="2" t="str">
        <x:v>Terrified</x:v>
      </x:c>
      <x:c r="C369" s="3" t="n">
        <x:v>2017</x:v>
      </x:c>
      <x:c r="D369" s="2" t="str">
        <x:v>Blu-ray</x:v>
      </x:c>
      <x:c r="E369" s="4"/>
      <x:c r="F369" s="3" t="n">
        <x:v>489430</x:v>
      </x:c>
      <x:c r="G369" s="5" t="n">
        <x:v>6.72</x:v>
      </x:c>
      <x:c r="H369" s="2" t="str">
        <x:v>Horror</x:v>
      </x:c>
      <x:c r="I369" s="6" t="str">
        <x:v>/eMP4F0POBgrB4icn6XgYeLLIrld.jpg</x:v>
      </x:c>
      <x:c r="J369" s="7" t="str">
        <x:v>https://image.tmdb.org/t/p/w342/eMP4F0POBgrB4icn6XgYeLLIrld.jpg</x:v>
      </x:c>
      <x:c r="K369" s="3" t="e">
        <x:f>IMAGE(J369)</x:f>
      </x:c>
      <x:c r="L369" s="8" t="n">
        <x:v>88</x:v>
      </x:c>
      <x:c r="M369" s="46" t="str">
        <x:v>Police commissioner Funes and three researchers of supernatural phenomena investigate inexplicable events that are occurring in the suburbs of Buenos Aires.</x:v>
      </x:c>
      <x:c r="N369" s="2" t="n">
        <x:v>43223</x:v>
      </x:c>
      <x:c r="O369" s="2" t="str">
        <x:v>Unwatched</x:v>
      </x:c>
      <x:c r="P369" s="9"/>
      <x:c r="Q369" s="6"/>
      <x:c r="R369" s="2" t="str">
        <x:v>https://www.themoviedb.org/movie/489430</x:v>
      </x:c>
      <x:c r="S369" s="10" t="str">
        <x:v>Matched</x:v>
      </x:c>
    </x:row>
    <x:row r="370" ht="90" customHeight="1">
      <x:c r="A370" s="2" t="str">
        <x:v>Terrifier (2016)</x:v>
      </x:c>
      <x:c r="B370" s="2" t="str">
        <x:v>Terrifier</x:v>
      </x:c>
      <x:c r="C370" s="3" t="n">
        <x:v>2016</x:v>
      </x:c>
      <x:c r="D370" s="2" t="str">
        <x:v>Blu-ray</x:v>
      </x:c>
      <x:c r="E370" s="4"/>
      <x:c r="F370" s="3" t="n">
        <x:v>420634</x:v>
      </x:c>
      <x:c r="G370" s="5" t="n">
        <x:v>6.311</x:v>
      </x:c>
      <x:c r="H370" s="2" t="str">
        <x:v>Horror</x:v>
      </x:c>
      <x:c r="I370" s="6" t="str">
        <x:v>/fjXqhGmaeQpB73WerhrYU6HlyV5.jpg</x:v>
      </x:c>
      <x:c r="J370" s="7" t="str">
        <x:v>https://image.tmdb.org/t/p/w342/fjXqhGmaeQpB73WerhrYU6HlyV5.jpg</x:v>
      </x:c>
      <x:c r="K370" s="3" t="e">
        <x:f>IMAGE(J370)</x:f>
      </x:c>
      <x:c r="L370" s="8" t="n">
        <x:v>84</x:v>
      </x:c>
      <x:c r="M370" s="46" t="str">
        <x:v>A maniacal clown named Art terrorizes three young women on Halloween night and everyone else who stands in his way.</x:v>
      </x:c>
      <x:c r="N370" s="2" t="n">
        <x:v>43125</x:v>
      </x:c>
      <x:c r="O370" s="2" t="str">
        <x:v>Unwatched</x:v>
      </x:c>
      <x:c r="P370" s="9"/>
      <x:c r="Q370" s="6"/>
      <x:c r="R370" s="2" t="str">
        <x:v>https://www.themoviedb.org/movie/420634</x:v>
      </x:c>
      <x:c r="S370" s="10" t="str">
        <x:v>Matched</x:v>
      </x:c>
    </x:row>
    <x:row r="371" ht="90" customHeight="1">
      <x:c r="A371" s="2" t="str">
        <x:v>Terrifier 2 (2022)</x:v>
      </x:c>
      <x:c r="B371" s="2" t="str">
        <x:v>Terrifier 2</x:v>
      </x:c>
      <x:c r="C371" s="3" t="n">
        <x:v>2022</x:v>
      </x:c>
      <x:c r="D371" s="2" t="str">
        <x:v>Blu-ray</x:v>
      </x:c>
      <x:c r="E371" s="4"/>
      <x:c r="F371" s="3" t="n">
        <x:v>663712</x:v>
      </x:c>
      <x:c r="G371" s="5" t="n">
        <x:v>6.667</x:v>
      </x:c>
      <x:c r="H371" s="2" t="str">
        <x:v>Horror</x:v>
      </x:c>
      <x:c r="I371" s="6" t="str">
        <x:v>/qEAlwXbYk6IHA4ztoS2XFFaa7Xo.jpg</x:v>
      </x:c>
      <x:c r="J371" s="7" t="str">
        <x:v>https://image.tmdb.org/t/p/w342/qEAlwXbYk6IHA4ztoS2XFFaa7Xo.jpg</x:v>
      </x:c>
      <x:c r="K371" s="3" t="e">
        <x:f>IMAGE(J371)</x:f>
      </x:c>
      <x:c r="L371" s="8" t="n">
        <x:v>138</x:v>
      </x:c>
      <x:c r="M371" s="46" t="str">
        <x:v>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x:v>
      </x:c>
      <x:c r="N371" s="2" t="n">
        <x:v>44840</x:v>
      </x:c>
      <x:c r="O371" s="2" t="str">
        <x:v>Unwatched</x:v>
      </x:c>
      <x:c r="P371" s="9"/>
      <x:c r="Q371" s="6"/>
      <x:c r="R371" s="2" t="str">
        <x:v>https://www.themoviedb.org/movie/663712</x:v>
      </x:c>
      <x:c r="S371" s="10" t="str">
        <x:v>Matched</x:v>
      </x:c>
    </x:row>
    <x:row r="372" ht="90" customHeight="1">
      <x:c r="A372" s="2" t="str">
        <x:v>Terrifier 3 (2024)</x:v>
      </x:c>
      <x:c r="B372" s="2" t="str">
        <x:v>Terrifier 3</x:v>
      </x:c>
      <x:c r="C372" s="3" t="n">
        <x:v>2024</x:v>
      </x:c>
      <x:c r="D372" s="2" t="str">
        <x:v>Blu-ray</x:v>
      </x:c>
      <x:c r="E372" s="4"/>
      <x:c r="F372" s="3" t="n">
        <x:v>1034541</x:v>
      </x:c>
      <x:c r="G372" s="5" t="n">
        <x:v>6.786</x:v>
      </x:c>
      <x:c r="H372" s="2" t="str">
        <x:v>Horror</x:v>
      </x:c>
      <x:c r="I372" s="6" t="str">
        <x:v>/ju10W5gl3PPK3b7TjEmVOZap51I.jpg</x:v>
      </x:c>
      <x:c r="J372" s="7" t="str">
        <x:v>https://image.tmdb.org/t/p/w342/ju10W5gl3PPK3b7TjEmVOZap51I.jpg</x:v>
      </x:c>
      <x:c r="K372" s="3" t="e">
        <x:f>IMAGE(J372)</x:f>
      </x:c>
      <x:c r="L372" s="8" t="n">
        <x:v>125</x:v>
      </x:c>
      <x:c r="M372" s="46" t="str">
        <x:v>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x:v>
      </x:c>
      <x:c r="N372" s="2" t="n">
        <x:v>45574</x:v>
      </x:c>
      <x:c r="O372" s="2" t="str">
        <x:v>Unwatched</x:v>
      </x:c>
      <x:c r="P372" s="9"/>
      <x:c r="Q372" s="6"/>
      <x:c r="R372" s="2" t="str">
        <x:v>https://www.themoviedb.org/movie/1034541</x:v>
      </x:c>
      <x:c r="S372" s="10" t="str">
        <x:v>Matched</x:v>
      </x:c>
    </x:row>
    <x:row r="373" ht="90" customHeight="1">
      <x:c r="A373" s="2" t="str">
        <x:v>Terror in the Aisles (1984)</x:v>
      </x:c>
      <x:c r="B373" s="2" t="str">
        <x:v>Terror in the Aisles</x:v>
      </x:c>
      <x:c r="C373" s="3" t="n">
        <x:v>1984</x:v>
      </x:c>
      <x:c r="D373" s="2" t="str">
        <x:v>Blu-ray</x:v>
      </x:c>
      <x:c r="E373" s="4"/>
      <x:c r="F373" s="3" t="n">
        <x:v>47894</x:v>
      </x:c>
      <x:c r="G373" s="5" t="n">
        <x:v>6.131</x:v>
      </x:c>
      <x:c r="H373" s="2" t="str">
        <x:v>Horror, Documentary</x:v>
      </x:c>
      <x:c r="I373" s="6" t="str">
        <x:v>/iFmaJ7mAwFJpx5gv6vUMvRKCeFm.jpg</x:v>
      </x:c>
      <x:c r="J373" s="7" t="str">
        <x:v>https://image.tmdb.org/t/p/w342/iFmaJ7mAwFJpx5gv6vUMvRKCeFm.jpg</x:v>
      </x:c>
      <x:c r="K373" s="3" t="e">
        <x:f>IMAGE(J373)</x:f>
      </x:c>
      <x:c r="L373" s="8" t="n">
        <x:v>84</x:v>
      </x:c>
      <x:c r="M373" s="46" t="str">
        <x:v>A non-stop roller coaster ride through the scariest moments of the greatest terror films of all time.</x:v>
      </x:c>
      <x:c r="N373" s="2" t="n">
        <x:v>30981</x:v>
      </x:c>
      <x:c r="O373" s="2" t="str">
        <x:v>Unwatched</x:v>
      </x:c>
      <x:c r="P373" s="9"/>
      <x:c r="Q373" s="6"/>
      <x:c r="R373" s="2" t="str">
        <x:v>https://www.themoviedb.org/movie/47894</x:v>
      </x:c>
      <x:c r="S373" s="10" t="str">
        <x:v>Matched</x:v>
      </x:c>
    </x:row>
    <x:row r="374" ht="90" customHeight="1">
      <x:c r="A374" s="2" t="str">
        <x:v>The Texas Chain Saw Massacre (1974)</x:v>
      </x:c>
      <x:c r="B374" s="2" t="str">
        <x:v>The Texas Chain Saw Massacre</x:v>
      </x:c>
      <x:c r="C374" s="3" t="n">
        <x:v>1974</x:v>
      </x:c>
      <x:c r="D374" s="2" t="str">
        <x:v>Blu-ray</x:v>
      </x:c>
      <x:c r="E374" s="4"/>
      <x:c r="F374" s="3" t="n">
        <x:v>30497</x:v>
      </x:c>
      <x:c r="G374" s="5" t="n">
        <x:v>7.28</x:v>
      </x:c>
      <x:c r="H374" s="2" t="str">
        <x:v>Horror</x:v>
      </x:c>
      <x:c r="I374" s="6" t="str">
        <x:v>/mpgkRPH1GNkMCgdPk2OMyHzAks7.jpg</x:v>
      </x:c>
      <x:c r="J374" s="7" t="str">
        <x:v>https://image.tmdb.org/t/p/w342/mpgkRPH1GNkMCgdPk2OMyHzAks7.jpg</x:v>
      </x:c>
      <x:c r="K374" s="3" t="e">
        <x:f>IMAGE(J374)</x:f>
      </x:c>
      <x:c r="L374" s="8" t="n">
        <x:v>83</x:v>
      </x:c>
      <x:c r="M374" s="46" t="str">
        <x:v>Five friends head out to rural Texas to visit the grave of a grandfather. On the way, they stumble across what appears to be a deserted house, only to discover something sinister within. Something armed with a chainsaw.</x:v>
      </x:c>
      <x:c r="N374" s="2" t="n">
        <x:v>27313</x:v>
      </x:c>
      <x:c r="O374" s="2" t="str">
        <x:v>Unwatched</x:v>
      </x:c>
      <x:c r="P374" s="9"/>
      <x:c r="Q374" s="6"/>
      <x:c r="R374" s="2" t="str">
        <x:v>https://www.themoviedb.org/movie/30497</x:v>
      </x:c>
      <x:c r="S374" s="10" t="str">
        <x:v>Matched</x:v>
      </x:c>
    </x:row>
    <x:row r="375" ht="90" customHeight="1">
      <x:c r="A375" s="2" t="str">
        <x:v>The Texas Chainsaw Massacre (2003)</x:v>
      </x:c>
      <x:c r="B375" s="2" t="str">
        <x:v>The Texas Chainsaw Massacre</x:v>
      </x:c>
      <x:c r="C375" s="3" t="n">
        <x:v>2003</x:v>
      </x:c>
      <x:c r="D375" s="2" t="str">
        <x:v>Blu-ray</x:v>
      </x:c>
      <x:c r="E375" s="4"/>
      <x:c r="F375" s="3" t="n">
        <x:v>9373</x:v>
      </x:c>
      <x:c r="G375" s="5" t="n">
        <x:v>6.3</x:v>
      </x:c>
      <x:c r="H375" s="2" t="str">
        <x:v>Horror</x:v>
      </x:c>
      <x:c r="I375" s="6" t="str">
        <x:v>/781px1eOtfVt1RdIsL4Dt1s3x7R.jpg</x:v>
      </x:c>
      <x:c r="J375" s="7" t="str">
        <x:v>https://image.tmdb.org/t/p/w342/781px1eOtfVt1RdIsL4Dt1s3x7R.jpg</x:v>
      </x:c>
      <x:c r="K375" s="3" t="e">
        <x:f>IMAGE(J375)</x:f>
      </x:c>
      <x:c r="L375" s="8" t="n">
        <x:v>98</x:v>
      </x:c>
      <x:c r="M375" s="46" t="str">
        <x:v>After picking up a traumatized young hitchhiker, five friends find themselves stalked and hunted by a chainsaw-wielding killer and his family of equally psychopathic killers.</x:v>
      </x:c>
      <x:c r="N375" s="2" t="n">
        <x:v>37762</x:v>
      </x:c>
      <x:c r="O375" s="2" t="str">
        <x:v>Unwatched</x:v>
      </x:c>
      <x:c r="P375" s="9"/>
      <x:c r="Q375" s="6"/>
      <x:c r="R375" s="2" t="str">
        <x:v>https://www.themoviedb.org/movie/9373</x:v>
      </x:c>
      <x:c r="S375" s="10" t="str">
        <x:v>Matched</x:v>
      </x:c>
    </x:row>
    <x:row r="376" ht="90" customHeight="1">
      <x:c r="A376" s="2" t="str">
        <x:v>That's My Boy (2012)</x:v>
      </x:c>
      <x:c r="B376" s="2" t="str">
        <x:v>That's My Boy</x:v>
      </x:c>
      <x:c r="C376" s="3" t="n">
        <x:v>2012</x:v>
      </x:c>
      <x:c r="D376" s="2" t="str">
        <x:v>Blu-ray</x:v>
      </x:c>
      <x:c r="E376" s="4"/>
      <x:c r="F376" s="3" t="n">
        <x:v>87428</x:v>
      </x:c>
      <x:c r="G376" s="5" t="n">
        <x:v>5.801</x:v>
      </x:c>
      <x:c r="H376" s="2" t="str">
        <x:v>Comedy</x:v>
      </x:c>
      <x:c r="I376" s="6" t="str">
        <x:v>/oaLhdRsZ5Mq8VfZtA4Wlvjzzn0X.jpg</x:v>
      </x:c>
      <x:c r="J376" s="7" t="str">
        <x:v>https://image.tmdb.org/t/p/w342/oaLhdRsZ5Mq8VfZtA4Wlvjzzn0X.jpg</x:v>
      </x:c>
      <x:c r="K376" s="3" t="e">
        <x:f>IMAGE(J376)</x:f>
      </x:c>
      <x:c r="L376" s="8" t="n">
        <x:v>116</x:v>
      </x:c>
      <x:c r="M376" s="46" t="str">
        <x:v>While in his teens, Donny fathered a son, Todd, and raised him as a single parent up until Todd's 18th birthday. Now, after not seeing each other for years, Todd's world comes crashing down when Donny resurfaces just before Todd's wedding.</x:v>
      </x:c>
      <x:c r="N376" s="2" t="n">
        <x:v>41074</x:v>
      </x:c>
      <x:c r="O376" s="2" t="str">
        <x:v>Unwatched</x:v>
      </x:c>
      <x:c r="P376" s="9"/>
      <x:c r="Q376" s="6"/>
      <x:c r="R376" s="2" t="str">
        <x:v>https://www.themoviedb.org/movie/87428</x:v>
      </x:c>
      <x:c r="S376" s="10" t="str">
        <x:v>Matched</x:v>
      </x:c>
    </x:row>
    <x:row r="377" ht="90" customHeight="1">
      <x:c r="A377" s="2" t="str">
        <x:v>Thor: The Dark World (2013)</x:v>
      </x:c>
      <x:c r="B377" s="2" t="str">
        <x:v>Thor: The Dark World</x:v>
      </x:c>
      <x:c r="C377" s="3" t="n">
        <x:v>2013</x:v>
      </x:c>
      <x:c r="D377" s="2" t="str">
        <x:v>Blu-ray</x:v>
      </x:c>
      <x:c r="E377" s="4"/>
      <x:c r="F377" s="3" t="n">
        <x:v>76338</x:v>
      </x:c>
      <x:c r="G377" s="5" t="n">
        <x:v>6.5</x:v>
      </x:c>
      <x:c r="H377" s="2" t="str">
        <x:v>Action, Adventure, Fantasy</x:v>
      </x:c>
      <x:c r="I377" s="6" t="str">
        <x:v>/wp6OxE4poJ4G7c0U2ZIXasTSMR7.jpg</x:v>
      </x:c>
      <x:c r="J377" s="7" t="str">
        <x:v>https://image.tmdb.org/t/p/w342/wp6OxE4poJ4G7c0U2ZIXasTSMR7.jpg</x:v>
      </x:c>
      <x:c r="K377" s="3" t="e">
        <x:f>IMAGE(J377)</x:f>
      </x:c>
      <x:c r="L377" s="8" t="n">
        <x:v>112</x:v>
      </x:c>
      <x:c r="M377" s="46" t="str">
        <x:v>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x:v>
      </x:c>
      <x:c r="N377" s="2" t="n">
        <x:v>41577</x:v>
      </x:c>
      <x:c r="O377" s="2" t="str">
        <x:v>Unwatched</x:v>
      </x:c>
      <x:c r="P377" s="9"/>
      <x:c r="Q377" s="6"/>
      <x:c r="R377" s="2" t="str">
        <x:v>https://www.themoviedb.org/movie/76338</x:v>
      </x:c>
      <x:c r="S377" s="10" t="str">
        <x:v>Matched</x:v>
      </x:c>
    </x:row>
    <x:row r="378" ht="90" customHeight="1">
      <x:c r="A378" s="2" t="str">
        <x:v>Tomorrowland (2015)</x:v>
      </x:c>
      <x:c r="B378" s="2" t="str">
        <x:v>Tomorrowland</x:v>
      </x:c>
      <x:c r="C378" s="3" t="n">
        <x:v>2015</x:v>
      </x:c>
      <x:c r="D378" s="2" t="str">
        <x:v>Blu-ray</x:v>
      </x:c>
      <x:c r="E378" s="4"/>
      <x:c r="F378" s="3" t="n">
        <x:v>158852</x:v>
      </x:c>
      <x:c r="G378" s="5" t="n">
        <x:v>6.3</x:v>
      </x:c>
      <x:c r="H378" s="2" t="str">
        <x:v>Adventure, Family, Mystery, Science Fiction</x:v>
      </x:c>
      <x:c r="I378" s="6" t="str">
        <x:v>/kziYpr5Nfw60P0My8aj1sgCEqed.jpg</x:v>
      </x:c>
      <x:c r="J378" s="7" t="str">
        <x:v>https://image.tmdb.org/t/p/w342/kziYpr5Nfw60P0My8aj1sgCEqed.jpg</x:v>
      </x:c>
      <x:c r="K378" s="3" t="e">
        <x:f>IMAGE(J378)</x:f>
      </x:c>
      <x:c r="L378" s="8" t="n">
        <x:v>130</x:v>
      </x:c>
      <x:c r="M378" s="46" t="str">
        <x: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x:v>
      </x:c>
      <x:c r="N378" s="2" t="n">
        <x:v>42143</x:v>
      </x:c>
      <x:c r="O378" s="2" t="str">
        <x:v>Unwatched</x:v>
      </x:c>
      <x:c r="P378" s="9"/>
      <x:c r="Q378" s="6"/>
      <x:c r="R378" s="2" t="str">
        <x:v>https://www.themoviedb.org/movie/158852</x:v>
      </x:c>
      <x:c r="S378" s="10" t="str">
        <x:v>Matched</x:v>
      </x:c>
    </x:row>
    <x:row r="379" ht="90" customHeight="1">
      <x:c r="A379" s="2" t="str">
        <x:v>Trick 'r Treat (2007)</x:v>
      </x:c>
      <x:c r="B379" s="2" t="str">
        <x:v>Trick 'r Treat</x:v>
      </x:c>
      <x:c r="C379" s="3" t="n">
        <x:v>2007</x:v>
      </x:c>
      <x:c r="D379" s="2" t="str">
        <x:v>Blu-ray</x:v>
      </x:c>
      <x:c r="E379" s="4"/>
      <x:c r="F379" s="3" t="n">
        <x:v>23202</x:v>
      </x:c>
      <x:c r="G379" s="5" t="n">
        <x:v>6.984</x:v>
      </x:c>
      <x:c r="H379" s="2" t="str">
        <x:v>Horror, Fantasy, Comedy</x:v>
      </x:c>
      <x:c r="I379" s="6" t="str">
        <x:v>/w0nmol4g7n6MFfhfphV7GzHHYjB.jpg</x:v>
      </x:c>
      <x:c r="J379" s="7" t="str">
        <x:v>https://image.tmdb.org/t/p/w342/w0nmol4g7n6MFfhfphV7GzHHYjB.jpg</x:v>
      </x:c>
      <x:c r="K379" s="3" t="e">
        <x:f>IMAGE(J379)</x:f>
      </x:c>
      <x:c r="L379" s="8" t="n">
        <x:v>82</x:v>
      </x:c>
      <x:c r="M379" s="46" t="str">
        <x:v>Four interwoven stories that occur on Halloween: an everyday high school principal has a secret life as a serial killer; a college virgin might have just met the one guy for her; a group of teenagers pull a mean prank, and a bitter old recluse receives an uninvited guest.</x:v>
      </x:c>
      <x:c r="N379" s="2" t="n">
        <x:v>39425</x:v>
      </x:c>
      <x:c r="O379" s="2" t="str">
        <x:v>Unwatched</x:v>
      </x:c>
      <x:c r="P379" s="9"/>
      <x:c r="Q379" s="6"/>
      <x:c r="R379" s="2" t="str">
        <x:v>https://www.themoviedb.org/movie/23202</x:v>
      </x:c>
      <x:c r="S379" s="10" t="str">
        <x:v>Matched</x:v>
      </x:c>
    </x:row>
    <x:row r="380" ht="90" customHeight="1">
      <x:c r="A380" s="2" t="str">
        <x:v>Tropic Thunder (2008)</x:v>
      </x:c>
      <x:c r="B380" s="2" t="str">
        <x:v>Tropic Thunder</x:v>
      </x:c>
      <x:c r="C380" s="3" t="n">
        <x:v>2008</x:v>
      </x:c>
      <x:c r="D380" s="2" t="str">
        <x:v>Blu-ray</x:v>
      </x:c>
      <x:c r="E380" s="4"/>
      <x:c r="F380" s="3" t="n">
        <x:v>7446</x:v>
      </x:c>
      <x:c r="G380" s="5" t="n">
        <x:v>6.713</x:v>
      </x:c>
      <x:c r="H380" s="2" t="str">
        <x:v>Action, Comedy, Adventure, War</x:v>
      </x:c>
      <x:c r="I380" s="6" t="str">
        <x:v>/zAurB9mNxfYRoVrVjAJJwGV3sPg.jpg</x:v>
      </x:c>
      <x:c r="J380" s="7" t="str">
        <x:v>https://image.tmdb.org/t/p/w342/zAurB9mNxfYRoVrVjAJJwGV3sPg.jpg</x:v>
      </x:c>
      <x:c r="K380" s="3" t="e">
        <x:f>IMAGE(J380)</x:f>
      </x:c>
      <x:c r="L380" s="8" t="n">
        <x:v>107</x:v>
      </x:c>
      <x:c r="M380" s="46" t="str">
        <x:v>A group of self-absorbed actors set out to make the most expensive war film ever. After ballooning costs force the studio to cancel the movie, the frustrated director refuses to stop shooting, leading his cast into the jungles of Southeast Asia, where they encounter real bad guys.</x:v>
      </x:c>
      <x:c r="N380" s="2" t="n">
        <x:v>39669</x:v>
      </x:c>
      <x:c r="O380" s="2" t="str">
        <x:v>Unwatched</x:v>
      </x:c>
      <x:c r="P380" s="9"/>
      <x:c r="Q380" s="6"/>
      <x:c r="R380" s="2" t="str">
        <x:v>https://www.themoviedb.org/movie/7446</x:v>
      </x:c>
      <x:c r="S380" s="10" t="str">
        <x:v>Matched</x:v>
      </x:c>
    </x:row>
    <x:row r="381" ht="90" customHeight="1">
      <x:c r="A381" s="2" t="str">
        <x:v>Tucker &amp; Dale vs. Evil (2010)</x:v>
      </x:c>
      <x:c r="B381" s="2" t="str">
        <x:v>Tucker &amp; Dale vs. Evil</x:v>
      </x:c>
      <x:c r="C381" s="3" t="n">
        <x:v>2010</x:v>
      </x:c>
      <x:c r="D381" s="2" t="str">
        <x:v>Blu-ray</x:v>
      </x:c>
      <x:c r="E381" s="4"/>
      <x:c r="F381" s="3" t="n">
        <x:v>46838</x:v>
      </x:c>
      <x:c r="G381" s="5" t="n">
        <x:v>7.392</x:v>
      </x:c>
      <x:c r="H381" s="2" t="str">
        <x:v>Comedy, Horror</x:v>
      </x:c>
      <x:c r="I381" s="6" t="str">
        <x:v>/8shwLEDzajJGSfLgbpac8x8xn1U.jpg</x:v>
      </x:c>
      <x:c r="J381" s="7" t="str">
        <x:v>https://image.tmdb.org/t/p/w342/8shwLEDzajJGSfLgbpac8x8xn1U.jpg</x:v>
      </x:c>
      <x:c r="K381" s="3" t="e">
        <x:f>IMAGE(J381)</x:f>
      </x:c>
      <x:c r="L381" s="8" t="n">
        <x:v>89</x:v>
      </x:c>
      <x:c r="M381" s="46" t="str">
        <x:v>Two hillbillies are suspected of being killers by a group of paranoid college kids camping near the duo's West Virginian cabin. As the body count climbs, so does the fear and confusion as the college kids try to seek revenge against the pair.</x:v>
      </x:c>
      <x:c r="N381" s="2" t="n">
        <x:v>40200</x:v>
      </x:c>
      <x:c r="O381" s="2" t="str">
        <x:v>Unwatched</x:v>
      </x:c>
      <x:c r="P381" s="9"/>
      <x:c r="Q381" s="6"/>
      <x:c r="R381" s="2" t="str">
        <x:v>https://www.themoviedb.org/movie/46838</x:v>
      </x:c>
      <x:c r="S381" s="10" t="str">
        <x:v>Matched</x:v>
      </x:c>
    </x:row>
    <x:row r="382" ht="90" customHeight="1">
      <x:c r="A382" s="2" t="str">
        <x:v>The Unborn (2009)</x:v>
      </x:c>
      <x:c r="B382" s="2" t="str">
        <x:v>The Unborn</x:v>
      </x:c>
      <x:c r="C382" s="3" t="n">
        <x:v>2009</x:v>
      </x:c>
      <x:c r="D382" s="2" t="str">
        <x:v>Blu-ray</x:v>
      </x:c>
      <x:c r="E382" s="4"/>
      <x:c r="F382" s="3" t="n">
        <x:v>13788</x:v>
      </x:c>
      <x:c r="G382" s="5" t="n">
        <x:v>5.2</x:v>
      </x:c>
      <x:c r="H382" s="2" t="str">
        <x:v>Horror, Thriller, Mystery</x:v>
      </x:c>
      <x:c r="I382" s="6" t="str">
        <x:v>/42H2aaD5UubsHyWt6zfrFMRP8y1.jpg</x:v>
      </x:c>
      <x:c r="J382" s="7" t="str">
        <x:v>https://image.tmdb.org/t/p/w342/42H2aaD5UubsHyWt6zfrFMRP8y1.jpg</x:v>
      </x:c>
      <x:c r="K382" s="3" t="e">
        <x:f>IMAGE(J382)</x:f>
      </x:c>
      <x:c r="L382" s="8" t="n">
        <x:v>87</x:v>
      </x:c>
      <x:c r="M382" s="46" t="str">
        <x:v>A young woman fights the spirit that is slowly taking possession of her.</x:v>
      </x:c>
      <x:c r="N382" s="2" t="n">
        <x:v>39822</x:v>
      </x:c>
      <x:c r="O382" s="2" t="str">
        <x:v>Unwatched</x:v>
      </x:c>
      <x:c r="P382" s="9"/>
      <x:c r="Q382" s="6"/>
      <x:c r="R382" s="2" t="str">
        <x:v>https://www.themoviedb.org/movie/13788</x:v>
      </x:c>
      <x:c r="S382" s="10" t="str">
        <x:v>Matched</x:v>
      </x:c>
    </x:row>
    <x:row r="383" ht="90" customHeight="1">
      <x:c r="A383" s="2" t="str">
        <x:v>Upstream Color (2013)</x:v>
      </x:c>
      <x:c r="B383" s="2" t="str">
        <x:v>Upstream Color</x:v>
      </x:c>
      <x:c r="C383" s="3" t="n">
        <x:v>2013</x:v>
      </x:c>
      <x:c r="D383" s="2" t="str">
        <x:v>Blu-ray</x:v>
      </x:c>
      <x:c r="E383" s="4"/>
      <x:c r="F383" s="3" t="n">
        <x:v>145197</x:v>
      </x:c>
      <x:c r="G383" s="5" t="n">
        <x:v>6.344</x:v>
      </x:c>
      <x:c r="H383" s="2" t="str">
        <x:v>Drama, Science Fiction</x:v>
      </x:c>
      <x:c r="I383" s="6" t="str">
        <x:v>/tQ4IWxSYIgZVWnQwLCG8r6sUraU.jpg</x:v>
      </x:c>
      <x:c r="J383" s="7" t="str">
        <x:v>https://image.tmdb.org/t/p/w342/tQ4IWxSYIgZVWnQwLCG8r6sUraU.jpg</x:v>
      </x:c>
      <x:c r="K383" s="3" t="e">
        <x:f>IMAGE(J383)</x:f>
      </x:c>
      <x:c r="L383" s="8" t="n">
        <x:v>96</x:v>
      </x:c>
      <x:c r="M383" s="46" t="str">
        <x:v>A man and woman are drawn together, entangled in the lifecycle of an ageless organism. Identity becomes an illusion as they struggle to assemble the loose fragments of wrecked lives.</x:v>
      </x:c>
      <x:c r="N383" s="2" t="n">
        <x:v>41369</x:v>
      </x:c>
      <x:c r="O383" s="2" t="str">
        <x:v>Unwatched</x:v>
      </x:c>
      <x:c r="P383" s="9"/>
      <x:c r="Q383" s="6"/>
      <x:c r="R383" s="2" t="str">
        <x:v>https://www.themoviedb.org/movie/145197</x:v>
      </x:c>
      <x:c r="S383" s="10" t="str">
        <x:v>Matched</x:v>
      </x:c>
    </x:row>
    <x:row r="384" ht="90" customHeight="1">
      <x:c r="A384" s="2" t="str">
        <x:v>Urban Legends: Bloody Mary (2005)</x:v>
      </x:c>
      <x:c r="B384" s="2" t="str">
        <x:v>Urban Legends: Bloody Mary</x:v>
      </x:c>
      <x:c r="C384" s="3" t="n">
        <x:v>2005</x:v>
      </x:c>
      <x:c r="D384" s="2" t="str">
        <x:v>Blu-ray</x:v>
      </x:c>
      <x:c r="E384" s="4"/>
      <x:c r="F384" s="3" t="n">
        <x:v>10292</x:v>
      </x:c>
      <x:c r="G384" s="5" t="n">
        <x:v>4.937</x:v>
      </x:c>
      <x:c r="H384" s="2" t="str">
        <x:v>Horror, Mystery</x:v>
      </x:c>
      <x:c r="I384" s="6" t="str">
        <x:v>/Avlo5JZOBXWx4oymtkXfCaomV5Y.jpg</x:v>
      </x:c>
      <x:c r="J384" s="7" t="str">
        <x:v>https://image.tmdb.org/t/p/w342/Avlo5JZOBXWx4oymtkXfCaomV5Y.jpg</x:v>
      </x:c>
      <x:c r="K384" s="3" t="e">
        <x:f>IMAGE(J384)</x:f>
      </x:c>
      <x:c r="L384" s="8" t="n">
        <x:v>93</x:v>
      </x:c>
      <x:c r="M384" s="46" t="str">
        <x:v>On a prom-night dare, a trio of high school friends chant an incantation, unleashing an evil spirit from the past with deadly consequences.</x:v>
      </x:c>
      <x:c r="N384" s="2" t="n">
        <x:v>38552</x:v>
      </x:c>
      <x:c r="O384" s="2" t="str">
        <x:v>Unwatched</x:v>
      </x:c>
      <x:c r="P384" s="9"/>
      <x:c r="Q384" s="6"/>
      <x:c r="R384" s="2" t="str">
        <x:v>https://www.themoviedb.org/movie/10292</x:v>
      </x:c>
      <x:c r="S384" s="10" t="str">
        <x:v>Matched</x:v>
      </x:c>
    </x:row>
    <x:row r="385" ht="90" customHeight="1">
      <x:c r="A385" s="2" t="str">
        <x:v>Us (2019)</x:v>
      </x:c>
      <x:c r="B385" s="2" t="str">
        <x:v>Us</x:v>
      </x:c>
      <x:c r="C385" s="3" t="n">
        <x:v>2019</x:v>
      </x:c>
      <x:c r="D385" s="2" t="str">
        <x:v>Blu-ray</x:v>
      </x:c>
      <x:c r="E385" s="4"/>
      <x:c r="F385" s="3" t="n">
        <x:v>458723</x:v>
      </x:c>
      <x:c r="G385" s="5" t="n">
        <x:v>6.9</x:v>
      </x:c>
      <x:c r="H385" s="2" t="str">
        <x:v>Horror, Mystery</x:v>
      </x:c>
      <x:c r="I385" s="6" t="str">
        <x:v>/ux2dU1jQ2ACIMShzB3yP93Udpzc.jpg</x:v>
      </x:c>
      <x:c r="J385" s="7" t="str">
        <x:v>https://image.tmdb.org/t/p/w342/ux2dU1jQ2ACIMShzB3yP93Udpzc.jpg</x:v>
      </x:c>
      <x:c r="K385" s="3" t="e">
        <x:f>IMAGE(J385)</x:f>
      </x:c>
      <x:c r="L385" s="8" t="n">
        <x:v>116</x:v>
      </x:c>
      <x:c r="M385" s="46" t="str">
        <x:v>Husband and wife Gabe and Adelaide Wilson take their kids to their beach house expecting to unplug and unwind with friends. But as night descends, their serenity turns to tension and chaos when some shocking visitors arrive uninvited.</x:v>
      </x:c>
      <x:c r="N385" s="2" t="n">
        <x:v>43538</x:v>
      </x:c>
      <x:c r="O385" s="2" t="str">
        <x:v>Unwatched</x:v>
      </x:c>
      <x:c r="P385" s="9"/>
      <x:c r="Q385" s="6"/>
      <x:c r="R385" s="2" t="str">
        <x:v>https://www.themoviedb.org/movie/458723</x:v>
      </x:c>
      <x:c r="S385" s="10" t="str">
        <x:v>Matched</x:v>
      </x:c>
    </x:row>
    <x:row r="386" ht="90" customHeight="1">
      <x:c r="A386" s="2" t="str">
        <x:v>V/H/S/2 (2013)</x:v>
      </x:c>
      <x:c r="B386" s="2" t="str">
        <x:v>V/H/S/2</x:v>
      </x:c>
      <x:c r="C386" s="3" t="n">
        <x:v>2013</x:v>
      </x:c>
      <x:c r="D386" s="2" t="str">
        <x:v>Blu-ray</x:v>
      </x:c>
      <x:c r="E386" s="4"/>
      <x:c r="F386" s="3" t="n">
        <x:v>159117</x:v>
      </x:c>
      <x:c r="G386" s="5" t="n">
        <x:v>6.194</x:v>
      </x:c>
      <x:c r="H386" s="2" t="str">
        <x:v>Horror, Thriller</x:v>
      </x:c>
      <x:c r="I386" s="6" t="str">
        <x:v>/o4hcWsHaHaNQ9BBReOxLvYJNRhA.jpg</x:v>
      </x:c>
      <x:c r="J386" s="7" t="str">
        <x:v>https://image.tmdb.org/t/p/w342/o4hcWsHaHaNQ9BBReOxLvYJNRhA.jpg</x:v>
      </x:c>
      <x:c r="K386" s="3" t="e">
        <x:f>IMAGE(J386)</x:f>
      </x:c>
      <x:c r="L386" s="8" t="n">
        <x:v>96</x:v>
      </x:c>
      <x:c r="M386" s="46" t="str">
        <x:v>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x:v>
      </x:c>
      <x:c r="N386" s="2" t="n">
        <x:v>41431</x:v>
      </x:c>
      <x:c r="O386" s="2" t="str">
        <x:v>Unwatched</x:v>
      </x:c>
      <x:c r="P386" s="9"/>
      <x:c r="Q386" s="6"/>
      <x:c r="R386" s="2" t="str">
        <x:v>https://www.themoviedb.org/movie/159117</x:v>
      </x:c>
      <x:c r="S386" s="10" t="str">
        <x:v>Matched</x:v>
      </x:c>
    </x:row>
    <x:row r="387" ht="90" customHeight="1">
      <x:c r="A387" s="2" t="str">
        <x:v>V/H/S/85 (2023)</x:v>
      </x:c>
      <x:c r="B387" s="2" t="str">
        <x:v>V/H/S/85</x:v>
      </x:c>
      <x:c r="C387" s="3" t="n">
        <x:v>2023</x:v>
      </x:c>
      <x:c r="D387" s="2" t="str">
        <x:v>Blu-ray</x:v>
      </x:c>
      <x:c r="E387" s="4"/>
      <x:c r="F387" s="3" t="n">
        <x:v>1032948</x:v>
      </x:c>
      <x:c r="G387" s="5" t="n">
        <x:v>5.661</x:v>
      </x:c>
      <x:c r="H387" s="2" t="str">
        <x:v>Horror, Thriller</x:v>
      </x:c>
      <x:c r="I387" s="6" t="str">
        <x:v>/aM3wnZTKEuPLDwxuMWcHDibOkiw.jpg</x:v>
      </x:c>
      <x:c r="J387" s="7" t="str">
        <x:v>https://image.tmdb.org/t/p/w342/aM3wnZTKEuPLDwxuMWcHDibOkiw.jpg</x:v>
      </x:c>
      <x:c r="K387" s="3" t="e">
        <x:f>IMAGE(J387)</x:f>
      </x:c>
      <x:c r="L387" s="8" t="n">
        <x:v>111</x:v>
      </x:c>
      <x:c r="M387" s="46" t="str">
        <x:v>Unveiled through a made-for-TV documentary, five chilling tales of found footage horror emerge to take viewers on a gore-filled journey through the grim underbelly of the forgotten 1980s.</x:v>
      </x:c>
      <x:c r="N387" s="2" t="n">
        <x:v>45253</x:v>
      </x:c>
      <x:c r="O387" s="2" t="str">
        <x:v>Unwatched</x:v>
      </x:c>
      <x:c r="P387" s="9"/>
      <x:c r="Q387" s="6"/>
      <x:c r="R387" s="2" t="str">
        <x:v>https://www.themoviedb.org/movie/1032948</x:v>
      </x:c>
      <x:c r="S387" s="10" t="str">
        <x:v>Matched</x:v>
      </x:c>
    </x:row>
    <x:row r="388" ht="90" customHeight="1">
      <x:c r="A388" s="2" t="str">
        <x:v>V/H/S/94 (2021)</x:v>
      </x:c>
      <x:c r="B388" s="2" t="str">
        <x:v>V/H/S/94</x:v>
      </x:c>
      <x:c r="C388" s="3" t="n">
        <x:v>2021</x:v>
      </x:c>
      <x:c r="D388" s="2" t="str">
        <x:v>Blu-ray</x:v>
      </x:c>
      <x:c r="E388" s="4"/>
      <x:c r="F388" s="3" t="n">
        <x:v>753453</x:v>
      </x:c>
      <x:c r="G388" s="5" t="n">
        <x:v>6.126</x:v>
      </x:c>
      <x:c r="H388" s="2" t="str">
        <x:v>Horror, Thriller</x:v>
      </x:c>
      <x:c r="I388" s="6" t="str">
        <x:v>/9fSogEkqDfJQTuGHsTFloQz3Tw8.jpg</x:v>
      </x:c>
      <x:c r="J388" s="7" t="str">
        <x:v>https://image.tmdb.org/t/p/w342/9fSogEkqDfJQTuGHsTFloQz3Tw8.jpg</x:v>
      </x:c>
      <x:c r="K388" s="3" t="e">
        <x:f>IMAGE(J388)</x:f>
      </x:c>
      <x:c r="L388" s="8" t="n">
        <x:v>103</x:v>
      </x:c>
      <x:c r="M388" s="46" t="str">
        <x:v>After the discovery of a mysterious VHS tape, a brutish police SWAT team launches a high-intensity raid on a remote warehouse, only to discover a sinister cult compound whose collection of pre-recorded material uncovers a nightmarish conspiracy.</x:v>
      </x:c>
      <x:c r="N388" s="2" t="n">
        <x:v>44465</x:v>
      </x:c>
      <x:c r="O388" s="2" t="str">
        <x:v>Unwatched</x:v>
      </x:c>
      <x:c r="P388" s="9"/>
      <x:c r="Q388" s="6"/>
      <x:c r="R388" s="2" t="str">
        <x:v>https://www.themoviedb.org/movie/753453</x:v>
      </x:c>
      <x:c r="S388" s="10" t="str">
        <x:v>Matched</x:v>
      </x:c>
    </x:row>
    <x:row r="389" ht="90" customHeight="1">
      <x:c r="A389" s="2" t="str">
        <x:v>V/H/S/99 (2022)</x:v>
      </x:c>
      <x:c r="B389" s="2" t="str">
        <x:v>V/H/S/99</x:v>
      </x:c>
      <x:c r="C389" s="3" t="n">
        <x:v>2022</x:v>
      </x:c>
      <x:c r="D389" s="2" t="str">
        <x:v>Blu-ray</x:v>
      </x:c>
      <x:c r="E389" s="4"/>
      <x:c r="F389" s="3" t="n">
        <x:v>1005776</x:v>
      </x:c>
      <x:c r="G389" s="5" t="n">
        <x:v>5.876</x:v>
      </x:c>
      <x:c r="H389" s="2" t="str">
        <x:v>Horror, Thriller</x:v>
      </x:c>
      <x:c r="I389" s="6" t="str">
        <x:v>/1bOMmFtnykBmvhFcx8zdXO6bCAa.jpg</x:v>
      </x:c>
      <x:c r="J389" s="7" t="str">
        <x:v>https://image.tmdb.org/t/p/w342/1bOMmFtnykBmvhFcx8zdXO6bCAa.jpg</x:v>
      </x:c>
      <x:c r="K389" s="3" t="e">
        <x:f>IMAGE(J389)</x:f>
      </x:c>
      <x:c r="L389" s="8" t="n">
        <x:v>109</x:v>
      </x:c>
      <x:c r="M389" s="46" t="str">
        <x:v>A thirsty teenager's home video leads to a series of horrifying revelations, harkening back to the final punk rock analog days of VHS, while taking one giant leap forward into the hellish new millennium.</x:v>
      </x:c>
      <x:c r="N389" s="2" t="n">
        <x:v>44819</x:v>
      </x:c>
      <x:c r="O389" s="2" t="str">
        <x:v>Unwatched</x:v>
      </x:c>
      <x:c r="P389" s="9"/>
      <x:c r="Q389" s="6"/>
      <x:c r="R389" s="2" t="str">
        <x:v>https://www.themoviedb.org/movie/1005776</x:v>
      </x:c>
      <x:c r="S389" s="10" t="str">
        <x:v>Matched</x:v>
      </x:c>
    </x:row>
    <x:row r="390" ht="90" customHeight="1">
      <x:c r="A390" s="2" t="str">
        <x:v>V/H/S/Beyond (2024)</x:v>
      </x:c>
      <x:c r="B390" s="2" t="str">
        <x:v>V/H/S/Beyond</x:v>
      </x:c>
      <x:c r="C390" s="3" t="n">
        <x:v>2024</x:v>
      </x:c>
      <x:c r="D390" s="2" t="str">
        <x:v>Blu-ray</x:v>
      </x:c>
      <x:c r="E390" s="4"/>
      <x:c r="F390" s="3" t="n">
        <x:v>1190868</x:v>
      </x:c>
      <x:c r="G390" s="5" t="n">
        <x:v>6.567</x:v>
      </x:c>
      <x:c r="H390" s="2" t="str">
        <x:v>Horror, Science Fiction, Thriller</x:v>
      </x:c>
      <x:c r="I390" s="6" t="str">
        <x:v>/wXaf6VGNHIGU7qivapGOF7o4o4N.jpg</x:v>
      </x:c>
      <x:c r="J390" s="7" t="str">
        <x:v>https://image.tmdb.org/t/p/w342/wXaf6VGNHIGU7qivapGOF7o4o4N.jpg</x:v>
      </x:c>
      <x:c r="K390" s="3" t="e">
        <x:f>IMAGE(J390)</x:f>
      </x:c>
      <x:c r="L390" s="8" t="n">
        <x:v>114</x:v>
      </x:c>
      <x:c r="M390" s="46" t="str">
        <x:v>The infinite playground of forbidden worlds and dangerous lifeforms offered by the sci-fi horror genre will lead to the biggest, maddest, bloodiest V/H/S ever.</x:v>
      </x:c>
      <x:c r="N390" s="2" t="n">
        <x:v>45555</x:v>
      </x:c>
      <x:c r="O390" s="2" t="str">
        <x:v>Unwatched</x:v>
      </x:c>
      <x:c r="P390" s="9"/>
      <x:c r="Q390" s="6"/>
      <x:c r="R390" s="2" t="str">
        <x:v>https://www.themoviedb.org/movie/1190868</x:v>
      </x:c>
      <x:c r="S390" s="10" t="str">
        <x:v>Matched</x:v>
      </x:c>
    </x:row>
    <x:row r="391" ht="90" customHeight="1">
      <x:c r="A391" s="2" t="str">
        <x:v>Vacancy (2007)</x:v>
      </x:c>
      <x:c r="B391" s="2" t="str">
        <x:v>Vacancy</x:v>
      </x:c>
      <x:c r="C391" s="3" t="n">
        <x:v>2007</x:v>
      </x:c>
      <x:c r="D391" s="2" t="str">
        <x:v>Blu-ray</x:v>
      </x:c>
      <x:c r="E391" s="4"/>
      <x:c r="F391" s="3" t="n">
        <x:v>10294</x:v>
      </x:c>
      <x:c r="G391" s="5" t="n">
        <x:v>6.27</x:v>
      </x:c>
      <x:c r="H391" s="2" t="str">
        <x:v>Horror, Thriller</x:v>
      </x:c>
      <x:c r="I391" s="6" t="str">
        <x:v>/9nlJVsbebi1onTwGyJ3UHDNttID.jpg</x:v>
      </x:c>
      <x:c r="J391" s="7" t="str">
        <x:v>https://image.tmdb.org/t/p/w342/9nlJVsbebi1onTwGyJ3UHDNttID.jpg</x:v>
      </x:c>
      <x:c r="K391" s="3" t="e">
        <x:f>IMAGE(J391)</x:f>
      </x:c>
      <x:c r="L391" s="8" t="n">
        <x:v>85</x:v>
      </x:c>
      <x:c r="M391" s="46" t="str">
        <x:v>A young married couple becomes stranded at an isolated motel and find hidden video cameras in their room. They realize that unless they escape, they'll be the next victims of a snuff film.</x:v>
      </x:c>
      <x:c r="N391" s="2" t="n">
        <x:v>39192</x:v>
      </x:c>
      <x:c r="O391" s="2" t="str">
        <x:v>Unwatched</x:v>
      </x:c>
      <x:c r="P391" s="9"/>
      <x:c r="Q391" s="6"/>
      <x:c r="R391" s="2" t="str">
        <x:v>https://www.themoviedb.org/movie/10294</x:v>
      </x:c>
      <x:c r="S391" s="10" t="str">
        <x:v>Matched</x:v>
      </x:c>
    </x:row>
    <x:row r="392" ht="90" customHeight="1">
      <x:c r="A392" s="2" t="str">
        <x:v>A Very Harold &amp; Kumar Christmas (2011)</x:v>
      </x:c>
      <x:c r="B392" s="2" t="str">
        <x:v>A Very Harold &amp; Kumar Christmas</x:v>
      </x:c>
      <x:c r="C392" s="3" t="n">
        <x:v>2011</x:v>
      </x:c>
      <x:c r="D392" s="2" t="str">
        <x:v>Blu-ray</x:v>
      </x:c>
      <x:c r="E392" s="4"/>
      <x:c r="F392" s="3" t="n">
        <x:v>55465</x:v>
      </x:c>
      <x:c r="G392" s="5" t="n">
        <x:v>6</x:v>
      </x:c>
      <x:c r="H392" s="2" t="str">
        <x:v>Comedy</x:v>
      </x:c>
      <x:c r="I392" s="6" t="str">
        <x:v>/cncxLilRHKayn8VKhzjAMHkbN4f.jpg</x:v>
      </x:c>
      <x:c r="J392" s="7" t="str">
        <x:v>https://image.tmdb.org/t/p/w342/cncxLilRHKayn8VKhzjAMHkbN4f.jpg</x:v>
      </x:c>
      <x:c r="K392" s="3" t="e">
        <x:f>IMAGE(J392)</x:f>
      </x:c>
      <x:c r="L392" s="8" t="n">
        <x:v>90</x:v>
      </x:c>
      <x:c r="M392" s="46" t="str">
        <x: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x:v>
      </x:c>
      <x:c r="N392" s="2" t="n">
        <x:v>40851</x:v>
      </x:c>
      <x:c r="O392" s="2" t="str">
        <x:v>Unwatched</x:v>
      </x:c>
      <x:c r="P392" s="9"/>
      <x:c r="Q392" s="6"/>
      <x:c r="R392" s="2" t="str">
        <x:v>https://www.themoviedb.org/movie/55465</x:v>
      </x:c>
      <x:c r="S392" s="10" t="str">
        <x:v>Matched</x:v>
      </x:c>
    </x:row>
    <x:row r="393" ht="90" customHeight="1">
      <x:c r="A393" s="2" t="str">
        <x:v>Videodrome (1983)</x:v>
      </x:c>
      <x:c r="B393" s="2" t="str">
        <x:v>Videodrome</x:v>
      </x:c>
      <x:c r="C393" s="3" t="n">
        <x:v>1983</x:v>
      </x:c>
      <x:c r="D393" s="2" t="str">
        <x:v>Blu-ray</x:v>
      </x:c>
      <x:c r="E393" s="4"/>
      <x:c r="F393" s="3" t="n">
        <x:v>837</x:v>
      </x:c>
      <x:c r="G393" s="5" t="n">
        <x:v>7.249</x:v>
      </x:c>
      <x:c r="H393" s="2" t="str">
        <x:v>Horror, Science Fiction, Mystery</x:v>
      </x:c>
      <x:c r="I393" s="6" t="str">
        <x:v>/qqqkiZSU9EBGZ1KiDmfn07S7qvv.jpg</x:v>
      </x:c>
      <x:c r="J393" s="7" t="str">
        <x:v>https://image.tmdb.org/t/p/w342/qqqkiZSU9EBGZ1KiDmfn07S7qvv.jpg</x:v>
      </x:c>
      <x:c r="K393" s="3" t="e">
        <x:f>IMAGE(J393)</x:f>
      </x:c>
      <x:c r="L393" s="8" t="n">
        <x:v>88</x:v>
      </x:c>
      <x:c r="M393" s="46" t="str">
        <x:v>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x:v>
      </x:c>
      <x:c r="N393" s="2" t="n">
        <x:v>30351</x:v>
      </x:c>
      <x:c r="O393" s="2" t="str">
        <x:v>Unwatched</x:v>
      </x:c>
      <x:c r="P393" s="9"/>
      <x:c r="Q393" s="6"/>
      <x:c r="R393" s="2" t="str">
        <x:v>https://www.themoviedb.org/movie/837</x:v>
      </x:c>
      <x:c r="S393" s="10" t="str">
        <x:v>Matched</x:v>
      </x:c>
    </x:row>
    <x:row r="394" ht="90" customHeight="1">
      <x:c r="A394" s="2" t="str">
        <x:v>The Wailing (2016)</x:v>
      </x:c>
      <x:c r="B394" s="2" t="str">
        <x:v>The Wailing</x:v>
      </x:c>
      <x:c r="C394" s="3" t="n">
        <x:v>2016</x:v>
      </x:c>
      <x:c r="D394" s="2" t="str">
        <x:v>Blu-ray</x:v>
      </x:c>
      <x:c r="E394" s="4"/>
      <x:c r="F394" s="3" t="n">
        <x:v>293670</x:v>
      </x:c>
      <x:c r="G394" s="5" t="n">
        <x:v>7.378</x:v>
      </x:c>
      <x:c r="H394" s="2" t="str">
        <x:v>Horror, Mystery</x:v>
      </x:c>
      <x:c r="I394" s="6" t="str">
        <x:v>/RbymxgEM5SpDfO2Io2JMFG10Vi.jpg</x:v>
      </x:c>
      <x:c r="J394" s="7" t="str">
        <x:v>https://image.tmdb.org/t/p/w342/RbymxgEM5SpDfO2Io2JMFG10Vi.jpg</x:v>
      </x:c>
      <x:c r="K394" s="3" t="e">
        <x:f>IMAGE(J394)</x:f>
      </x:c>
      <x:c r="L394" s="8" t="n">
        <x:v>156</x:v>
      </x:c>
      <x:c r="M394" s="46" t="str">
        <x:v>A stranger arrives in a little village and soon after a mysterious sickness starts spreading. A policeman is drawn into the incident and is forced to solve the mystery in order to save his daughter.</x:v>
      </x:c>
      <x:c r="N394" s="2" t="n">
        <x:v>42502</x:v>
      </x:c>
      <x:c r="O394" s="2" t="str">
        <x:v>Unwatched</x:v>
      </x:c>
      <x:c r="P394" s="9"/>
      <x:c r="Q394" s="6"/>
      <x:c r="R394" s="2" t="str">
        <x:v>https://www.themoviedb.org/movie/293670</x:v>
      </x:c>
      <x:c r="S394" s="10" t="str">
        <x:v>Matched</x:v>
      </x:c>
    </x:row>
    <x:row r="395" ht="90" customHeight="1">
      <x:c r="A395" s="2" t="str">
        <x:v>War for the Planet of the Apes (2017)</x:v>
      </x:c>
      <x:c r="B395" s="2" t="str">
        <x:v>War for the Planet of the Apes</x:v>
      </x:c>
      <x:c r="C395" s="3" t="n">
        <x:v>2017</x:v>
      </x:c>
      <x:c r="D395" s="2" t="str">
        <x:v>Blu-ray</x:v>
      </x:c>
      <x:c r="E395" s="4"/>
      <x:c r="F395" s="3" t="n">
        <x:v>281338</x:v>
      </x:c>
      <x:c r="G395" s="5" t="n">
        <x:v>7.217</x:v>
      </x:c>
      <x:c r="H395" s="2" t="str">
        <x:v>Drama, Science Fiction, War</x:v>
      </x:c>
      <x:c r="I395" s="6" t="str">
        <x:v>/3vYhLLxrTtZLysXtIWktmd57Snv.jpg</x:v>
      </x:c>
      <x:c r="J395" s="7" t="str">
        <x:v>https://image.tmdb.org/t/p/w342/3vYhLLxrTtZLysXtIWktmd57Snv.jpg</x:v>
      </x:c>
      <x:c r="K395" s="3" t="e">
        <x:f>IMAGE(J395)</x:f>
      </x:c>
      <x:c r="L395" s="8" t="n">
        <x:v>140</x:v>
      </x:c>
      <x:c r="M395" s="46" t="str">
        <x: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x:v>
      </x:c>
      <x:c r="N395" s="2" t="n">
        <x:v>42927</x:v>
      </x:c>
      <x:c r="O395" s="2" t="str">
        <x:v>Unwatched</x:v>
      </x:c>
      <x:c r="P395" s="9"/>
      <x:c r="Q395" s="6"/>
      <x:c r="R395" s="2" t="str">
        <x:v>https://www.themoviedb.org/movie/281338</x:v>
      </x:c>
      <x:c r="S395" s="10" t="str">
        <x:v>Matched</x:v>
      </x:c>
    </x:row>
    <x:row r="396" ht="90" customHeight="1">
      <x:c r="A396" s="2" t="str">
        <x:v>The Watch (2012)</x:v>
      </x:c>
      <x:c r="B396" s="2" t="str">
        <x:v>The Watch</x:v>
      </x:c>
      <x:c r="C396" s="3" t="n">
        <x:v>2012</x:v>
      </x:c>
      <x:c r="D396" s="2" t="str">
        <x:v>Blu-ray</x:v>
      </x:c>
      <x:c r="E396" s="4"/>
      <x:c r="F396" s="3" t="n">
        <x:v>80035</x:v>
      </x:c>
      <x:c r="G396" s="5" t="n">
        <x:v>5.595</x:v>
      </x:c>
      <x:c r="H396" s="2" t="str">
        <x:v>Comedy, Action, Science Fiction</x:v>
      </x:c>
      <x:c r="I396" s="6" t="str">
        <x:v>/gwfgYA9wGpV4QLB0LrcexwfwC19.jpg</x:v>
      </x:c>
      <x:c r="J396" s="7" t="str">
        <x:v>https://image.tmdb.org/t/p/w342/gwfgYA9wGpV4QLB0LrcexwfwC19.jpg</x:v>
      </x:c>
      <x:c r="K396" s="3" t="e">
        <x:f>IMAGE(J396)</x:f>
      </x:c>
      <x:c r="L396" s="8" t="n">
        <x:v>102</x:v>
      </x:c>
      <x:c r="M396" s="46" t="str">
        <x: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x:v>
      </x:c>
      <x:c r="N396" s="2" t="n">
        <x:v>41116</x:v>
      </x:c>
      <x:c r="O396" s="2" t="str">
        <x:v>Unwatched</x:v>
      </x:c>
      <x:c r="P396" s="9"/>
      <x:c r="Q396" s="6"/>
      <x:c r="R396" s="2" t="str">
        <x:v>https://www.themoviedb.org/movie/80035</x:v>
      </x:c>
      <x:c r="S396" s="10" t="str">
        <x:v>Matched</x:v>
      </x:c>
    </x:row>
    <x:row r="397" ht="90" customHeight="1">
      <x:c r="A397" s="2" t="str">
        <x:v>We Need to Talk About Kevin (2011)</x:v>
      </x:c>
      <x:c r="B397" s="2" t="str">
        <x:v>We Need to Talk About Kevin</x:v>
      </x:c>
      <x:c r="C397" s="3" t="n">
        <x:v>2011</x:v>
      </x:c>
      <x:c r="D397" s="2" t="str">
        <x:v>Blu-ray</x:v>
      </x:c>
      <x:c r="E397" s="4"/>
      <x:c r="F397" s="3" t="n">
        <x:v>71859</x:v>
      </x:c>
      <x:c r="G397" s="5" t="n">
        <x:v>7.542</x:v>
      </x:c>
      <x:c r="H397" s="2" t="str">
        <x:v>Drama, Thriller</x:v>
      </x:c>
      <x:c r="I397" s="6" t="str">
        <x:v>/AtdYbs1SqYwFOLyi2v6ldVTawbn.jpg</x:v>
      </x:c>
      <x:c r="J397" s="7" t="str">
        <x:v>https://image.tmdb.org/t/p/w342/AtdYbs1SqYwFOLyi2v6ldVTawbn.jpg</x:v>
      </x:c>
      <x:c r="K397" s="3" t="e">
        <x:f>IMAGE(J397)</x:f>
      </x:c>
      <x:c r="L397" s="8" t="n">
        <x:v>113</x:v>
      </x:c>
      <x:c r="M397" s="46" t="str">
        <x:v>After her son Kevin commits a horrific act, troubled mother Eva reflects on her complicated relationship with her disturbed son as he grew from a toddler into a teenager.</x:v>
      </x:c>
      <x:c r="N397" s="2" t="n">
        <x:v>40814</x:v>
      </x:c>
      <x:c r="O397" s="2" t="str">
        <x:v>Unwatched</x:v>
      </x:c>
      <x:c r="P397" s="9"/>
      <x:c r="Q397" s="6"/>
      <x:c r="R397" s="2" t="str">
        <x:v>https://www.themoviedb.org/movie/71859</x:v>
      </x:c>
      <x:c r="S397" s="10" t="str">
        <x:v>Matched</x:v>
      </x:c>
    </x:row>
    <x:row r="398" ht="90" customHeight="1">
      <x:c r="A398" s="2" t="str">
        <x:v>We're the Millers (2013)</x:v>
      </x:c>
      <x:c r="B398" s="2" t="str">
        <x:v>We're the Millers</x:v>
      </x:c>
      <x:c r="C398" s="3" t="n">
        <x:v>2013</x:v>
      </x:c>
      <x:c r="D398" s="2" t="str">
        <x:v>Blu-ray</x:v>
      </x:c>
      <x:c r="E398" s="4"/>
      <x:c r="F398" s="3" t="n">
        <x:v>138832</x:v>
      </x:c>
      <x:c r="G398" s="5" t="n">
        <x:v>6.8</x:v>
      </x:c>
      <x:c r="H398" s="2" t="str">
        <x:v>Comedy, Crime</x:v>
      </x:c>
      <x:c r="I398" s="6" t="str">
        <x:v>/qF2LJ0jwWrtXSuT4AFD5OS2IqaT.jpg</x:v>
      </x:c>
      <x:c r="J398" s="7" t="str">
        <x:v>https://image.tmdb.org/t/p/w342/qF2LJ0jwWrtXSuT4AFD5OS2IqaT.jpg</x:v>
      </x:c>
      <x:c r="K398" s="3" t="e">
        <x:f>IMAGE(J398)</x:f>
      </x:c>
      <x:c r="L398" s="8" t="n">
        <x:v>110</x:v>
      </x:c>
      <x:c r="M398" s="46" t="str">
        <x:v>A veteran pot dealer creates a fake family as part of his plan to move a huge shipment of weed into the U.S. from Mexico.</x:v>
      </x:c>
      <x:c r="N398" s="2" t="n">
        <x:v>41493</x:v>
      </x:c>
      <x:c r="O398" s="2" t="str">
        <x:v>Unwatched</x:v>
      </x:c>
      <x:c r="P398" s="9"/>
      <x:c r="Q398" s="6"/>
      <x:c r="R398" s="2" t="str">
        <x:v>https://www.themoviedb.org/movie/138832</x:v>
      </x:c>
      <x:c r="S398" s="10" t="str">
        <x:v>Matched</x:v>
      </x:c>
    </x:row>
    <x:row r="399" ht="90" customHeight="1">
      <x:c r="A399" s="2" t="str">
        <x:v>Weapons (2025)</x:v>
      </x:c>
      <x:c r="B399" s="2" t="str">
        <x:v>Weapons</x:v>
      </x:c>
      <x:c r="C399" s="3" t="n">
        <x:v>2025</x:v>
      </x:c>
      <x:c r="D399" s="2" t="str">
        <x:v>Blu-ray</x:v>
      </x:c>
      <x:c r="E399" s="4"/>
      <x:c r="F399" s="3" t="n">
        <x:v>1078605</x:v>
      </x:c>
      <x:c r="G399" s="5" t="n">
        <x:v>7.256</x:v>
      </x:c>
      <x:c r="H399" s="2" t="str">
        <x:v>Horror, Mystery</x:v>
      </x:c>
      <x:c r="I399" s="6" t="str">
        <x:v>/cpf7vsRZ0MYRQcnLWteD5jK9ymT.jpg</x:v>
      </x:c>
      <x:c r="J399" s="7" t="str">
        <x:v>https://image.tmdb.org/t/p/w342/cpf7vsRZ0MYRQcnLWteD5jK9ymT.jpg</x:v>
      </x:c>
      <x:c r="K399" s="3" t="e">
        <x:f>IMAGE(J399)</x:f>
      </x:c>
      <x:c r="L399" s="8" t="n">
        <x:v>129</x:v>
      </x:c>
      <x:c r="M399" s="46" t="str">
        <x:v>When all but one child from the same class mysteriously vanish on the same night at exactly the same time, a community is left questioning who or what is behind their disappearance.</x:v>
      </x:c>
      <x:c r="N399" s="2" t="n">
        <x:v>45873</x:v>
      </x:c>
      <x:c r="O399" s="2" t="str">
        <x:v>Unwatched</x:v>
      </x:c>
      <x:c r="P399" s="9"/>
      <x:c r="Q399" s="6"/>
      <x:c r="R399" s="2" t="str">
        <x:v>https://www.themoviedb.org/movie/1078605</x:v>
      </x:c>
      <x:c r="S399" s="10" t="str">
        <x:v>Matched</x:v>
      </x:c>
    </x:row>
    <x:row r="400" ht="90" customHeight="1">
      <x:c r="A400" s="2" t="str">
        <x:v>Wes Craven's New Nightmare (1994)</x:v>
      </x:c>
      <x:c r="B400" s="2" t="str">
        <x:v>Wes Craven's New Nightmare</x:v>
      </x:c>
      <x:c r="C400" s="3" t="n">
        <x:v>1994</x:v>
      </x:c>
      <x:c r="D400" s="2" t="str">
        <x:v>Blu-ray</x:v>
      </x:c>
      <x:c r="E400" s="4"/>
      <x:c r="F400" s="3" t="n">
        <x:v>11596</x:v>
      </x:c>
      <x:c r="G400" s="5" t="n">
        <x:v>6.455</x:v>
      </x:c>
      <x:c r="H400" s="2" t="str">
        <x:v>Horror, Mystery, Fantasy</x:v>
      </x:c>
      <x:c r="I400" s="6" t="str">
        <x:v>/q5BWxfL1x34nyYSvA3Qo5odleGW.jpg</x:v>
      </x:c>
      <x:c r="J400" s="7" t="str">
        <x:v>https://image.tmdb.org/t/p/w342/q5BWxfL1x34nyYSvA3Qo5odleGW.jpg</x:v>
      </x:c>
      <x:c r="K400" s="3" t="e">
        <x:f>IMAGE(J400)</x:f>
      </x:c>
      <x:c r="L400" s="8" t="n">
        <x:v>112</x:v>
      </x:c>
      <x:c r="M400" s="46" t="str">
        <x:v>A demonic force has chosen Freddy Krueger as its portal to the real world. Can Heather Langenkamp play the part of Nancy one last time and trap the evil trying to enter our world?</x:v>
      </x:c>
      <x:c r="N400" s="2" t="n">
        <x:v>34620</x:v>
      </x:c>
      <x:c r="O400" s="2" t="str">
        <x:v>Unwatched</x:v>
      </x:c>
      <x:c r="P400" s="9"/>
      <x:c r="Q400" s="6"/>
      <x:c r="R400" s="2" t="str">
        <x:v>https://www.themoviedb.org/movie/11596</x:v>
      </x:c>
      <x:c r="S400" s="10" t="str">
        <x:v>Matched</x:v>
      </x:c>
    </x:row>
    <x:row r="401" ht="90" customHeight="1">
      <x:c r="A401" s="2" t="str">
        <x:v>When Evil Lurks (2023)</x:v>
      </x:c>
      <x:c r="B401" s="2" t="str">
        <x:v>When Evil Lurks</x:v>
      </x:c>
      <x:c r="C401" s="3" t="n">
        <x:v>2023</x:v>
      </x:c>
      <x:c r="D401" s="2" t="str">
        <x:v>Blu-ray</x:v>
      </x:c>
      <x:c r="E401" s="4"/>
      <x:c r="F401" s="3" t="n">
        <x:v>744857</x:v>
      </x:c>
      <x:c r="G401" s="5" t="n">
        <x:v>7.14</x:v>
      </x:c>
      <x:c r="H401" s="2" t="str">
        <x:v>Horror, Thriller</x:v>
      </x:c>
      <x:c r="I401" s="6" t="str">
        <x:v>/iQ7G9LhP7NRRIUM4Vlai3eOxBAc.jpg</x:v>
      </x:c>
      <x:c r="J401" s="7" t="str">
        <x:v>https://image.tmdb.org/t/p/w342/iQ7G9LhP7NRRIUM4Vlai3eOxBAc.jpg</x:v>
      </x:c>
      <x:c r="K401" s="3" t="e">
        <x:f>IMAGE(J401)</x:f>
      </x:c>
      <x:c r="L401" s="8" t="n">
        <x:v>100</x:v>
      </x:c>
      <x:c r="M401" s="46" t="str">
        <x:v>When brothers Pedro and Jimi discover that a demonic infection has been festering in a nearby farmhouse, they attempt to evict the victim from their land. Failing to adhere to the proper rites of exorcism, their reckless actions inadvertently trigger an epidemic of possessions across their rural community.</x:v>
      </x:c>
      <x:c r="N401" s="2" t="n">
        <x:v>45204</x:v>
      </x:c>
      <x:c r="O401" s="2" t="str">
        <x:v>Unwatched</x:v>
      </x:c>
      <x:c r="P401" s="9"/>
      <x:c r="Q401" s="6"/>
      <x:c r="R401" s="2" t="str">
        <x:v>https://www.themoviedb.org/movie/744857</x:v>
      </x:c>
      <x:c r="S401" s="10" t="str">
        <x:v>Matched</x:v>
      </x:c>
    </x:row>
    <x:row r="402" ht="90" customHeight="1">
      <x:c r="A402" s="2" t="str">
        <x:v>White House Down (2013)</x:v>
      </x:c>
      <x:c r="B402" s="2" t="str">
        <x:v>White House Down</x:v>
      </x:c>
      <x:c r="C402" s="3" t="n">
        <x:v>2013</x:v>
      </x:c>
      <x:c r="D402" s="2" t="str">
        <x:v>Blu-ray</x:v>
      </x:c>
      <x:c r="E402" s="4"/>
      <x:c r="F402" s="3" t="n">
        <x:v>117251</x:v>
      </x:c>
      <x:c r="G402" s="5" t="n">
        <x:v>6.5</x:v>
      </x:c>
      <x:c r="H402" s="2" t="str">
        <x:v>Action, Drama, Thriller</x:v>
      </x:c>
      <x:c r="I402" s="6" t="str">
        <x:v>/6TeIVKPw7nXXWy2zKmDmlnSwzb7.jpg</x:v>
      </x:c>
      <x:c r="J402" s="7" t="str">
        <x:v>https://image.tmdb.org/t/p/w342/6TeIVKPw7nXXWy2zKmDmlnSwzb7.jpg</x:v>
      </x:c>
      <x:c r="K402" s="3" t="e">
        <x:f>IMAGE(J402)</x:f>
      </x:c>
      <x:c r="L402" s="8" t="n">
        <x:v>131</x:v>
      </x:c>
      <x:c r="M402" s="46" t="str">
        <x:v>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x:v>
      </x:c>
      <x:c r="N402" s="2" t="n">
        <x:v>41452</x:v>
      </x:c>
      <x:c r="O402" s="2" t="str">
        <x:v>Unwatched</x:v>
      </x:c>
      <x:c r="P402" s="9"/>
      <x:c r="Q402" s="6"/>
      <x:c r="R402" s="2" t="str">
        <x:v>https://www.themoviedb.org/movie/117251</x:v>
      </x:c>
      <x:c r="S402" s="10" t="str">
        <x:v>Matched</x:v>
      </x:c>
    </x:row>
    <x:row r="403" ht="90" customHeight="1">
      <x:c r="A403" s="2" t="str">
        <x:v>Wicked (2024)</x:v>
      </x:c>
      <x:c r="B403" s="2" t="str">
        <x:v>Wicked</x:v>
      </x:c>
      <x:c r="C403" s="3" t="n">
        <x:v>2024</x:v>
      </x:c>
      <x:c r="D403" s="2" t="str">
        <x:v>Blu-ray</x:v>
      </x:c>
      <x:c r="E403" s="4"/>
      <x:c r="F403" s="3" t="n">
        <x:v>402431</x:v>
      </x:c>
      <x:c r="G403" s="5" t="n">
        <x:v>6.9</x:v>
      </x:c>
      <x:c r="H403" s="2" t="str">
        <x:v>Drama, Romance, Fantasy</x:v>
      </x:c>
      <x:c r="I403" s="6" t="str">
        <x:v>/xDGbZ0JJ3mYaGKy4Nzd9Kph6M9L.jpg</x:v>
      </x:c>
      <x:c r="J403" s="7" t="str">
        <x:v>https://image.tmdb.org/t/p/w342/xDGbZ0JJ3mYaGKy4Nzd9Kph6M9L.jpg</x:v>
      </x:c>
      <x:c r="K403" s="3" t="e">
        <x:f>IMAGE(J403)</x:f>
      </x:c>
      <x:c r="L403" s="8" t="n">
        <x:v>162</x:v>
      </x:c>
      <x:c r="M403" s="46" t="str">
        <x:v>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x:v>
      </x:c>
      <x:c r="N403" s="2" t="n">
        <x:v>45581</x:v>
      </x:c>
      <x:c r="O403" s="2" t="str">
        <x:v>Unwatched</x:v>
      </x:c>
      <x:c r="P403" s="9"/>
      <x:c r="Q403" s="6"/>
      <x:c r="R403" s="2" t="str">
        <x:v>https://www.themoviedb.org/movie/402431</x:v>
      </x:c>
      <x:c r="S403" s="10" t="str">
        <x:v>Matched</x:v>
      </x:c>
    </x:row>
    <x:row r="404" ht="90" customHeight="1">
      <x:c r="A404" s="2" t="str">
        <x:v>Wicked: For Good (2025)</x:v>
      </x:c>
      <x:c r="B404" s="2" t="str">
        <x:v>Wicked: For Good</x:v>
      </x:c>
      <x:c r="C404" s="3" t="n">
        <x:v>2025</x:v>
      </x:c>
      <x:c r="D404" s="2" t="str">
        <x:v>Blu-ray</x:v>
      </x:c>
      <x:c r="E404" s="4"/>
      <x:c r="F404" s="3" t="n">
        <x:v>967941</x:v>
      </x:c>
      <x:c r="G404" s="5" t="n">
        <x:v>6.634</x:v>
      </x:c>
      <x:c r="H404" s="2" t="str">
        <x:v>Fantasy, Adventure, Romance</x:v>
      </x:c>
      <x:c r="I404" s="6" t="str">
        <x:v>/si9tolnefLSUKaqQEGz1bWArOaL.jpg</x:v>
      </x:c>
      <x:c r="J404" s="7" t="str">
        <x:v>https://image.tmdb.org/t/p/w342/si9tolnefLSUKaqQEGz1bWArOaL.jpg</x:v>
      </x:c>
      <x:c r="K404" s="3" t="e">
        <x:f>IMAGE(J404)</x:f>
      </x:c>
      <x:c r="L404" s="8" t="n">
        <x:v>137</x:v>
      </x:c>
      <x:c r="M404" s="46" t="str">
        <x:v>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x:v>
      </x:c>
      <x:c r="N404" s="2" t="n">
        <x:v>45980</x:v>
      </x:c>
      <x:c r="O404" s="2" t="str">
        <x:v>Unwatched</x:v>
      </x:c>
      <x:c r="P404" s="9"/>
      <x:c r="Q404" s="6"/>
      <x:c r="R404" s="2" t="str">
        <x:v>https://www.themoviedb.org/movie/967941</x:v>
      </x:c>
      <x:c r="S404" s="10" t="str">
        <x:v>Matched</x:v>
      </x:c>
    </x:row>
    <x:row r="405" ht="90" customHeight="1">
      <x:c r="A405" s="2" t="str">
        <x:v>The Wolf of Wall Street (2013)</x:v>
      </x:c>
      <x:c r="B405" s="2" t="str">
        <x:v>The Wolf of Wall Street</x:v>
      </x:c>
      <x:c r="C405" s="3" t="n">
        <x:v>2013</x:v>
      </x:c>
      <x:c r="D405" s="2" t="str">
        <x:v>Blu-ray</x:v>
      </x:c>
      <x:c r="E405" s="4"/>
      <x:c r="F405" s="3" t="n">
        <x:v>106646</x:v>
      </x:c>
      <x:c r="G405" s="5" t="n">
        <x:v>8.028</x:v>
      </x:c>
      <x:c r="H405" s="2" t="str">
        <x:v>Crime, Drama, Comedy</x:v>
      </x:c>
      <x:c r="I405" s="6" t="str">
        <x:v>/kW9LmvYHAaS9iA0tHmZVq8hQYoq.jpg</x:v>
      </x:c>
      <x:c r="J405" s="7" t="str">
        <x:v>https://image.tmdb.org/t/p/w342/kW9LmvYHAaS9iA0tHmZVq8hQYoq.jpg</x:v>
      </x:c>
      <x:c r="K405" s="3" t="e">
        <x:f>IMAGE(J405)</x:f>
      </x:c>
      <x:c r="L405" s="8" t="n">
        <x:v>180</x:v>
      </x:c>
      <x:c r="M405" s="46" t="str">
        <x:v>A New York stockbroker refuses to cooperate in a large securities fraud case involving corruption on Wall Street, corporate banking world and mob infiltration. Based on Jordan Belfort's autobiography.</x:v>
      </x:c>
      <x:c r="N405" s="2" t="n">
        <x:v>41633</x:v>
      </x:c>
      <x:c r="O405" s="2" t="str">
        <x:v>Unwatched</x:v>
      </x:c>
      <x:c r="P405" s="9"/>
      <x:c r="Q405" s="6"/>
      <x:c r="R405" s="2" t="str">
        <x:v>https://www.themoviedb.org/movie/106646</x:v>
      </x:c>
      <x:c r="S405" s="10" t="str">
        <x:v>Matched</x:v>
      </x:c>
    </x:row>
    <x:row r="406" ht="90" customHeight="1">
      <x:c r="A406" s="2" t="str">
        <x:v>Wrong Turn (2003)</x:v>
      </x:c>
      <x:c r="B406" s="2" t="str">
        <x:v>Wrong Turn</x:v>
      </x:c>
      <x:c r="C406" s="3" t="n">
        <x:v>2003</x:v>
      </x:c>
      <x:c r="D406" s="2" t="str">
        <x:v>Blu-ray</x:v>
      </x:c>
      <x:c r="E406" s="4"/>
      <x:c r="F406" s="3" t="n">
        <x:v>9902</x:v>
      </x:c>
      <x:c r="G406" s="5" t="n">
        <x:v>6.387</x:v>
      </x:c>
      <x:c r="H406" s="2" t="str">
        <x:v>Horror, Thriller</x:v>
      </x:c>
      <x:c r="I406" s="6" t="str">
        <x:v>/12G5V0dTmljnv7RFMT144dJ2chh.jpg</x:v>
      </x:c>
      <x:c r="J406" s="7" t="str">
        <x:v>https://image.tmdb.org/t/p/w342/12G5V0dTmljnv7RFMT144dJ2chh.jpg</x:v>
      </x:c>
      <x:c r="K406" s="3" t="e">
        <x:f>IMAGE(J406)</x:f>
      </x:c>
      <x:c r="L406" s="8" t="n">
        <x:v>84</x:v>
      </x:c>
      <x:c r="M406" s="46" t="str">
        <x:v>Chris crashes into a carload of other young people, and the group of stranded motorists is soon lost in the woods of West Virginia, where they're hunted by three cannibalistic mountain men who are grossly disfigured by generations of inbreeding.</x:v>
      </x:c>
      <x:c r="N406" s="2" t="n">
        <x:v>37771</x:v>
      </x:c>
      <x:c r="O406" s="2" t="str">
        <x:v>Unwatched</x:v>
      </x:c>
      <x:c r="P406" s="9"/>
      <x:c r="Q406" s="6"/>
      <x:c r="R406" s="2" t="str">
        <x:v>https://www.themoviedb.org/movie/9902</x:v>
      </x:c>
      <x:c r="S406" s="10" t="str">
        <x:v>Matched</x:v>
      </x:c>
    </x:row>
    <x:row r="407" ht="90" customHeight="1">
      <x:c r="A407" s="2" t="str">
        <x:v>Wrong Turn 2: Dead End (2007)</x:v>
      </x:c>
      <x:c r="B407" s="2" t="str">
        <x:v>Wrong Turn 2: Dead End</x:v>
      </x:c>
      <x:c r="C407" s="3" t="n">
        <x:v>2007</x:v>
      </x:c>
      <x:c r="D407" s="2" t="str">
        <x:v>Blu-ray</x:v>
      </x:c>
      <x:c r="E407" s="4"/>
      <x:c r="F407" s="3" t="n">
        <x:v>13186</x:v>
      </x:c>
      <x:c r="G407" s="5" t="n">
        <x:v>6.141</x:v>
      </x:c>
      <x:c r="H407" s="2" t="str">
        <x:v>Horror, Thriller</x:v>
      </x:c>
      <x:c r="I407" s="6" t="str">
        <x:v>/ow3IMhTVLryZuCEoQznVTTmFYuu.jpg</x:v>
      </x:c>
      <x:c r="J407" s="7" t="str">
        <x:v>https://image.tmdb.org/t/p/w342/ow3IMhTVLryZuCEoQznVTTmFYuu.jpg</x:v>
      </x:c>
      <x:c r="K407" s="3" t="e">
        <x:f>IMAGE(J407)</x:f>
      </x:c>
      <x:c r="L407" s="8" t="n">
        <x:v>97</x:v>
      </x:c>
      <x:c r="M407" s="46" t="str">
        <x: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x:v>
      </x:c>
      <x:c r="N407" s="2" t="n">
        <x:v>39319</x:v>
      </x:c>
      <x:c r="O407" s="2" t="str">
        <x:v>Unwatched</x:v>
      </x:c>
      <x:c r="P407" s="9"/>
      <x:c r="Q407" s="6"/>
      <x:c r="R407" s="2" t="str">
        <x:v>https://www.themoviedb.org/movie/13186</x:v>
      </x:c>
      <x:c r="S407" s="10" t="str">
        <x:v>Matched</x:v>
      </x:c>
    </x:row>
    <x:row r="408" ht="90" customHeight="1">
      <x:c r="A408" s="2" t="str">
        <x:v>Wrong Turn 3: Left for Dead (2009)</x:v>
      </x:c>
      <x:c r="B408" s="2" t="str">
        <x:v>Wrong Turn 3: Left for Dead</x:v>
      </x:c>
      <x:c r="C408" s="3" t="n">
        <x:v>2009</x:v>
      </x:c>
      <x:c r="D408" s="2" t="str">
        <x:v>Blu-ray</x:v>
      </x:c>
      <x:c r="E408" s="4"/>
      <x:c r="F408" s="3" t="n">
        <x:v>23823</x:v>
      </x:c>
      <x:c r="G408" s="5" t="n">
        <x:v>5.705</x:v>
      </x:c>
      <x:c r="H408" s="2" t="str">
        <x:v>Horror, Thriller</x:v>
      </x:c>
      <x:c r="I408" s="6" t="str">
        <x:v>/84s4LMWuGbm4xPWW5PSbHyQhh33.jpg</x:v>
      </x:c>
      <x:c r="J408" s="7" t="str">
        <x:v>https://image.tmdb.org/t/p/w342/84s4LMWuGbm4xPWW5PSbHyQhh33.jpg</x:v>
      </x:c>
      <x:c r="K408" s="3" t="e">
        <x:f>IMAGE(J408)</x:f>
      </x:c>
      <x:c r="L408" s="8" t="n">
        <x:v>91</x:v>
      </x:c>
      <x:c r="M408" s="46" t="str">
        <x:v>A group of people find themselves trapped in the backwoods of West Virginia, fighting for their lives against a group of vicious and horribly disfigured inbred cannibals.</x:v>
      </x:c>
      <x:c r="N408" s="2" t="n">
        <x:v>40094</x:v>
      </x:c>
      <x:c r="O408" s="2" t="str">
        <x:v>Unwatched</x:v>
      </x:c>
      <x:c r="P408" s="9"/>
      <x:c r="Q408" s="6"/>
      <x:c r="R408" s="2" t="str">
        <x:v>https://www.themoviedb.org/movie/23823</x:v>
      </x:c>
      <x:c r="S408" s="10" t="str">
        <x:v>Matched</x:v>
      </x:c>
    </x:row>
    <x:row r="409" ht="90" customHeight="1">
      <x:c r="A409" s="2" t="str">
        <x:v>Wrong Turn 4: Bloody Beginnings (2011)</x:v>
      </x:c>
      <x:c r="B409" s="2" t="str">
        <x:v>Wrong Turn 4: Bloody Beginnings</x:v>
      </x:c>
      <x:c r="C409" s="3" t="n">
        <x:v>2011</x:v>
      </x:c>
      <x:c r="D409" s="2" t="str">
        <x:v>Blu-ray</x:v>
      </x:c>
      <x:c r="E409" s="4"/>
      <x:c r="F409" s="3" t="n">
        <x:v>71672</x:v>
      </x:c>
      <x:c r="G409" s="5" t="n">
        <x:v>5.74</x:v>
      </x:c>
      <x:c r="H409" s="2" t="str">
        <x:v>Horror, Thriller</x:v>
      </x:c>
      <x:c r="I409" s="6" t="str">
        <x:v>/l1vD4GY7tlT420KJ3xWTzyQ2Aa9.jpg</x:v>
      </x:c>
      <x:c r="J409" s="7" t="str">
        <x:v>https://image.tmdb.org/t/p/w342/l1vD4GY7tlT420KJ3xWTzyQ2Aa9.jpg</x:v>
      </x:c>
      <x:c r="K409" s="3" t="e">
        <x:f>IMAGE(J409)</x:f>
      </x:c>
      <x:c r="L409" s="8" t="n">
        <x:v>93</x:v>
      </x:c>
      <x:c r="M409" s="46" t="str">
        <x:v>A group of friends take refuge in a deserted sanatorium after they are left stranded in a snowstorm. Later, the place becomes a death trap when man-eating cannibals surround them.</x:v>
      </x:c>
      <x:c r="N409" s="2" t="n">
        <x:v>40833</x:v>
      </x:c>
      <x:c r="O409" s="2" t="str">
        <x:v>Unwatched</x:v>
      </x:c>
      <x:c r="P409" s="9"/>
      <x:c r="Q409" s="6"/>
      <x:c r="R409" s="2" t="str">
        <x:v>https://www.themoviedb.org/movie/71672</x:v>
      </x:c>
      <x:c r="S409" s="10" t="str">
        <x:v>Matched</x:v>
      </x:c>
    </x:row>
    <x:row r="410" ht="90" customHeight="1">
      <x:c r="A410" s="2" t="str">
        <x:v>Wrong Turn 5: Bloodlines (2012)</x:v>
      </x:c>
      <x:c r="B410" s="2" t="str">
        <x:v>Wrong Turn 5: Bloodlines</x:v>
      </x:c>
      <x:c r="C410" s="3" t="n">
        <x:v>2012</x:v>
      </x:c>
      <x:c r="D410" s="2" t="str">
        <x:v>Blu-ray</x:v>
      </x:c>
      <x:c r="E410" s="4"/>
      <x:c r="F410" s="3" t="n">
        <x:v>125509</x:v>
      </x:c>
      <x:c r="G410" s="5" t="n">
        <x:v>5.485</x:v>
      </x:c>
      <x:c r="H410" s="2" t="str">
        <x:v>Horror, Thriller</x:v>
      </x:c>
      <x:c r="I410" s="6" t="str">
        <x:v>/8fABep8FSRpeo8Ea4j3rfnoVgkg.jpg</x:v>
      </x:c>
      <x:c r="J410" s="7" t="str">
        <x:v>https://image.tmdb.org/t/p/w342/8fABep8FSRpeo8Ea4j3rfnoVgkg.jpg</x:v>
      </x:c>
      <x:c r="K410" s="3" t="e">
        <x:f>IMAGE(J410)</x:f>
      </x:c>
      <x:c r="L410" s="8" t="n">
        <x:v>91</x:v>
      </x:c>
      <x:c r="M410" s="46" t="str">
        <x: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x:v>
      </x:c>
      <x:c r="N410" s="2" t="n">
        <x:v>41200</x:v>
      </x:c>
      <x:c r="O410" s="2" t="str">
        <x:v>Unwatched</x:v>
      </x:c>
      <x:c r="P410" s="9"/>
      <x:c r="Q410" s="6"/>
      <x:c r="R410" s="2" t="str">
        <x:v>https://www.themoviedb.org/movie/125509</x:v>
      </x:c>
      <x:c r="S410" s="10" t="str">
        <x:v>Matched</x:v>
      </x:c>
    </x:row>
    <x:row r="411" ht="90" customHeight="1">
      <x:c r="A411" s="2" t="str">
        <x:v>X (2022)</x:v>
      </x:c>
      <x:c r="B411" s="2" t="str">
        <x:v>X</x:v>
      </x:c>
      <x:c r="C411" s="3" t="n">
        <x:v>2022</x:v>
      </x:c>
      <x:c r="D411" s="2" t="str">
        <x:v>Blu-ray</x:v>
      </x:c>
      <x:c r="E411" s="4"/>
      <x:c r="F411" s="3" t="n">
        <x:v>760104</x:v>
      </x:c>
      <x:c r="G411" s="5" t="n">
        <x:v>6.717</x:v>
      </x:c>
      <x:c r="H411" s="2" t="str">
        <x:v>Horror</x:v>
      </x:c>
      <x:c r="I411" s="6" t="str">
        <x:v>/lopZSVtXzhFY603E9OqF7O1YKsh.jpg</x:v>
      </x:c>
      <x:c r="J411" s="7" t="str">
        <x:v>https://image.tmdb.org/t/p/w342/lopZSVtXzhFY603E9OqF7O1YKsh.jpg</x:v>
      </x:c>
      <x:c r="K411" s="3" t="e">
        <x:f>IMAGE(J411)</x:f>
      </x:c>
      <x:c r="L411" s="8" t="n">
        <x:v>106</x:v>
      </x:c>
      <x:c r="M411" s="46" t="str">
        <x:v>In 1979, a group of young filmmakers set out to make an adult film in rural Texas, but when their reclusive, elderly hosts catch them in the act, the cast find themselves fighting for their lives.</x:v>
      </x:c>
      <x:c r="N411" s="2" t="n">
        <x:v>44637</x:v>
      </x:c>
      <x:c r="O411" s="2" t="str">
        <x:v>Unwatched</x:v>
      </x:c>
      <x:c r="P411" s="9"/>
      <x:c r="Q411" s="6"/>
      <x:c r="R411" s="2" t="str">
        <x:v>https://www.themoviedb.org/movie/760104</x:v>
      </x:c>
      <x:c r="S411" s="10" t="str">
        <x:v>Matched</x:v>
      </x:c>
    </x:row>
    <x:row r="412" ht="90" customHeight="1">
      <x:c r="A412" s="2" t="str">
        <x:v>Yes Man (2008)</x:v>
      </x:c>
      <x:c r="B412" s="2" t="str">
        <x:v>Yes Man</x:v>
      </x:c>
      <x:c r="C412" s="3" t="n">
        <x:v>2008</x:v>
      </x:c>
      <x:c r="D412" s="2" t="str">
        <x:v>Blu-ray</x:v>
      </x:c>
      <x:c r="E412" s="4"/>
      <x:c r="F412" s="3" t="n">
        <x:v>10201</x:v>
      </x:c>
      <x:c r="G412" s="5" t="n">
        <x:v>6.7</x:v>
      </x:c>
      <x:c r="H412" s="2" t="str">
        <x:v>Comedy, Romance</x:v>
      </x:c>
      <x:c r="I412" s="6" t="str">
        <x:v>/8Vk2nQF1kY34x53YnWd5zDaTht.jpg</x:v>
      </x:c>
      <x:c r="J412" s="7" t="str">
        <x:v>https://image.tmdb.org/t/p/w342/8Vk2nQF1kY34x53YnWd5zDaTht.jpg</x:v>
      </x:c>
      <x:c r="K412" s="3" t="e">
        <x:f>IMAGE(J412)</x:f>
      </x:c>
      <x:c r="L412" s="8" t="n">
        <x:v>104</x:v>
      </x:c>
      <x:c r="M412" s="46" t="str">
        <x:v>Carl Allen, a guy whose life is going nowhere, signs up for a self-help program based on one simple covenant: say yes to everything…and anything.</x:v>
      </x:c>
      <x:c r="N412" s="2" t="n">
        <x:v>39791</x:v>
      </x:c>
      <x:c r="O412" s="2" t="str">
        <x:v>Unwatched</x:v>
      </x:c>
      <x:c r="P412" s="9"/>
      <x:c r="Q412" s="6"/>
      <x:c r="R412" s="2" t="str">
        <x:v>https://www.themoviedb.org/movie/10201</x:v>
      </x:c>
      <x:c r="S412" s="10" t="str">
        <x:v>Matched</x:v>
      </x:c>
    </x:row>
    <x:row r="413" ht="90" customHeight="1">
      <x:c r="A413" s="2" t="str">
        <x:v>Zodiac (2007)</x:v>
      </x:c>
      <x:c r="B413" s="2" t="str">
        <x:v>Zodiac</x:v>
      </x:c>
      <x:c r="C413" s="3" t="n">
        <x:v>2007</x:v>
      </x:c>
      <x:c r="D413" s="2" t="str">
        <x:v>Blu-ray</x:v>
      </x:c>
      <x:c r="E413" s="4"/>
      <x:c r="F413" s="3" t="n">
        <x:v>1949</x:v>
      </x:c>
      <x:c r="G413" s="5" t="n">
        <x:v>7.5</x:v>
      </x:c>
      <x:c r="H413" s="2" t="str">
        <x:v>Crime, Mystery, Thriller</x:v>
      </x:c>
      <x:c r="I413" s="6" t="str">
        <x:v>/6YmeO4pB7XTh8P8F960O1uA14JO.jpg</x:v>
      </x:c>
      <x:c r="J413" s="7" t="str">
        <x:v>https://image.tmdb.org/t/p/w342/6YmeO4pB7XTh8P8F960O1uA14JO.jpg</x:v>
      </x:c>
      <x:c r="K413" s="3" t="e">
        <x:f>IMAGE(J413)</x:f>
      </x:c>
      <x:c r="L413" s="8" t="n">
        <x:v>157</x:v>
      </x:c>
      <x:c r="M413" s="46" t="str">
        <x:v>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x:v>
      </x:c>
      <x:c r="N413" s="2" t="n">
        <x:v>39143</x:v>
      </x:c>
      <x:c r="O413" s="2" t="str">
        <x:v>Unwatched</x:v>
      </x:c>
      <x:c r="P413" s="9"/>
      <x:c r="Q413" s="6"/>
      <x:c r="R413" s="2" t="str">
        <x:v>https://www.themoviedb.org/movie/1949</x:v>
      </x:c>
      <x:c r="S413" s="10" t="str">
        <x:v>Matched</x:v>
      </x:c>
    </x:row>
    <x:row r="414" ht="90" customHeight="1">
      <x:c r="A414" s="2" t="str">
        <x:v>Zombieland (2009)</x:v>
      </x:c>
      <x:c r="B414" s="2" t="str">
        <x:v>Zombieland</x:v>
      </x:c>
      <x:c r="C414" s="3" t="n">
        <x:v>2009</x:v>
      </x:c>
      <x:c r="D414" s="2" t="str">
        <x:v>Blu-ray</x:v>
      </x:c>
      <x:c r="E414" s="4"/>
      <x:c r="F414" s="3" t="n">
        <x:v>19908</x:v>
      </x:c>
      <x:c r="G414" s="5" t="n">
        <x:v>7.259</x:v>
      </x:c>
      <x:c r="H414" s="2" t="str">
        <x:v>Comedy, Horror</x:v>
      </x:c>
      <x:c r="I414" s="6" t="str">
        <x:v>/dUkAmAyPVqubSBNRjRqCgHggZcK.jpg</x:v>
      </x:c>
      <x:c r="J414" s="7" t="str">
        <x:v>https://image.tmdb.org/t/p/w342/dUkAmAyPVqubSBNRjRqCgHggZcK.jpg</x:v>
      </x:c>
      <x:c r="K414" s="3" t="e">
        <x:f>IMAGE(J414)</x:f>
      </x:c>
      <x:c r="L414" s="8" t="n">
        <x:v>87</x:v>
      </x:c>
      <x:c r="M414" s="46" t="str">
        <x: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x:v>
      </x:c>
      <x:c r="N414" s="2" t="n">
        <x:v>40088</x:v>
      </x:c>
      <x:c r="O414" s="2" t="str">
        <x:v>Unwatched</x:v>
      </x:c>
      <x:c r="P414" s="9"/>
      <x:c r="Q414" s="6"/>
      <x:c r="R414" s="2" t="str">
        <x:v>https://www.themoviedb.org/movie/19908</x:v>
      </x:c>
      <x:c r="S414" s="10" t="str">
        <x:v>Matched</x:v>
      </x:c>
    </x:row>
    <x:row r="415" ht="90" customHeight="1">
      <x:c r="A415" s="14" t="str">
        <x:v>Teenage Mutant Ninja Turtles</x:v>
      </x:c>
      <x:c r="B415" s="14" t="str">
        <x:v>Teenage Mutant Ninja Turtles</x:v>
      </x:c>
      <x:c r="C415" s="2" t="n">
        <x:v>1990</x:v>
      </x:c>
      <x:c r="D415" s="15" t="str">
        <x:v>4K Ultra HD</x:v>
      </x:c>
      <x:c r="E415" s="16"/>
      <x:c r="F415" s="16" t="n">
        <x:v>1498</x:v>
      </x:c>
      <x:c r="G415" s="15" t="n">
        <x:v>6.718</x:v>
      </x:c>
      <x:c r="H415" s="17" t="str">
        <x:v>Science Fiction, Mystery, Adventure</x:v>
      </x:c>
      <x:c r="I415" s="17"/>
      <x:c r="J415" s="17"/>
      <x:c r="K415" s="16"/>
      <x:c r="L415" s="18" t="n">
        <x:v>93</x:v>
      </x:c>
      <x:c r="M415" s="58" t="str">
        <x:v>A quartet of mutated humanoid turtles clash with an uprising criminal gang of ninjas.</x:v>
      </x:c>
      <x:c r="N415" s="17" t="n">
        <x:v>32962</x:v>
      </x:c>
      <x:c r="O415" s="17" t="str">
        <x:v>Unwatched</x:v>
      </x:c>
      <x:c r="P415" s="20"/>
      <x:c r="Q415" s="17"/>
      <x:c r="R415" s="17" t="str">
        <x:v>https://www.themoviedb.org/movie/1498</x:v>
      </x:c>
      <x:c r="S415" s="17" t="str">
        <x:v>Matched</x:v>
      </x:c>
    </x:row>
    <x:row r="416" ht="90" customHeight="1">
      <x:c r="A416" s="21" t="str">
        <x:v>Teenage Mutant Ninja Turtles II: The Secret of the Ooze</x:v>
      </x:c>
      <x:c r="B416" s="21" t="str">
        <x:v>Teenage Mutant Ninja Turtles II: The Secret of the Ooze</x:v>
      </x:c>
      <x:c r="C416" s="2" t="n">
        <x:v>1991</x:v>
      </x:c>
      <x:c r="D416" s="15" t="str">
        <x:v>4K Ultra HD</x:v>
      </x:c>
      <x:c r="E416" s="16"/>
      <x:c r="F416" s="16" t="n">
        <x:v>1497</x:v>
      </x:c>
      <x:c r="G416" s="15" t="n">
        <x:v>6</x:v>
      </x:c>
      <x:c r="H416" s="17" t="str">
        <x:v>Science Fiction, Mystery, Adventure</x:v>
      </x:c>
      <x:c r="I416" s="17"/>
      <x:c r="J416" s="17"/>
      <x:c r="K416" s="16"/>
      <x:c r="L416" s="18" t="n">
        <x:v>88</x:v>
      </x:c>
      <x:c r="M416" s="58" t="str">
        <x:v>The Turtles and the Shredder battle once again, this time for the last canister of ooze that created the Turtles, which Shredder wants to create an army of new mutants.</x:v>
      </x:c>
      <x:c r="N416" s="17" t="n">
        <x:v>33319</x:v>
      </x:c>
      <x:c r="O416" s="17" t="str">
        <x:v>Unwatched</x:v>
      </x:c>
      <x:c r="P416" s="20"/>
      <x:c r="Q416" s="17"/>
      <x:c r="R416" s="17" t="str">
        <x:v>https://www.themoviedb.org/movie/1497</x:v>
      </x:c>
      <x:c r="S416" s="17" t="str">
        <x:v>Matched</x:v>
      </x:c>
    </x:row>
    <x:row r="417" ht="90" customHeight="1">
      <x:c r="A417" s="22" t="str">
        <x:v>Teenage Mutant Ninja Turtles III</x:v>
      </x:c>
      <x:c r="B417" s="22" t="str">
        <x:v>Teenage Mutant Ninja Turtles III</x:v>
      </x:c>
      <x:c r="C417" s="2" t="n">
        <x:v>1993</x:v>
      </x:c>
      <x:c r="D417" s="15" t="str">
        <x:v>4K Ultra HD</x:v>
      </x:c>
      <x:c r="E417" s="16"/>
      <x:c r="F417" s="16" t="n">
        <x:v>1499</x:v>
      </x:c>
      <x:c r="G417" s="15" t="n">
        <x:v>5.1</x:v>
      </x:c>
      <x:c r="H417" s="17" t="str">
        <x:v>Science Fiction, Thriller, Comedy</x:v>
      </x:c>
      <x:c r="I417" s="17"/>
      <x:c r="J417" s="17"/>
      <x:c r="K417" s="16"/>
      <x:c r="L417" s="18" t="n">
        <x:v>96</x:v>
      </x:c>
      <x:c r="M417" s="58" t="str">
        <x:v>The four turtles travel back in time to the days of the legendary and deadly samurai in ancient Japan, where they train to perfect the art of becoming one. The turtles also assist a small village in an uprising.</x:v>
      </x:c>
      <x:c r="N417" s="17" t="n">
        <x:v>34045</x:v>
      </x:c>
      <x:c r="O417" s="17" t="str">
        <x:v>Unwatched</x:v>
      </x:c>
      <x:c r="P417" s="20"/>
      <x:c r="Q417" s="17"/>
      <x:c r="R417" s="17" t="str">
        <x:v>https://www.themoviedb.org/movie/1499</x:v>
      </x:c>
      <x:c r="S417" s="17" t="str">
        <x:v>Matched</x:v>
      </x:c>
    </x:row>
    <x:row r="418" ht="90" customHeight="1">
      <x:c r="A418" s="21" t="str">
        <x:v>House</x:v>
      </x:c>
      <x:c r="B418" s="21" t="str">
        <x:v>House</x:v>
      </x:c>
      <x:c r="C418" s="2" t="n">
        <x:v>1986</x:v>
      </x:c>
      <x:c r="D418" s="15" t="str">
        <x:v>Blu-ray</x:v>
      </x:c>
      <x:c r="E418" s="16"/>
      <x:c r="F418" s="16" t="n">
        <x:v>11415</x:v>
      </x:c>
      <x:c r="G418" s="15" t="n">
        <x:v>6.1</x:v>
      </x:c>
      <x:c r="H418" s="17" t="str">
        <x:v>Comedy, Horror, Fantasy</x:v>
      </x:c>
      <x:c r="I418" s="17"/>
      <x:c r="J418" s="17"/>
      <x:c r="K418" s="16"/>
      <x:c r="L418" s="18" t="n">
        <x:v>93</x:v>
      </x:c>
      <x:c r="M418" s="58" t="str">
        <x:v>Roger Cobb is a Vietnam vet whose career as a horror novelist has taken a turn for the worse when his son disappears and his aunt dies. Moving into her house to write, he discovers the place is haunted by monsters and memories.</x:v>
      </x:c>
      <x:c r="N418" s="17" t="n">
        <x:v>31471</x:v>
      </x:c>
      <x:c r="O418" s="17" t="str">
        <x:v>Unwatched</x:v>
      </x:c>
      <x:c r="P418" s="20"/>
      <x:c r="Q418" s="17"/>
      <x:c r="R418" s="17" t="str">
        <x:v>https://www.themoviedb.org/movie/11415</x:v>
      </x:c>
      <x:c r="S418" s="17" t="str">
        <x:v>Matched</x:v>
      </x:c>
    </x:row>
    <x:row r="419" ht="90" customHeight="1">
      <x:c r="A419" s="22" t="str">
        <x:v>House II: The Second Story</x:v>
      </x:c>
      <x:c r="B419" s="22" t="str">
        <x:v>House II: The Second Story</x:v>
      </x:c>
      <x:c r="C419" s="2" t="n">
        <x:v>1987</x:v>
      </x:c>
      <x:c r="D419" s="15" t="str">
        <x:v>Blu-ray</x:v>
      </x:c>
      <x:c r="E419" s="16"/>
      <x:c r="F419" s="16" t="n">
        <x:v>11416</x:v>
      </x:c>
      <x:c r="G419" s="15" t="n">
        <x:v>5.5</x:v>
      </x:c>
      <x:c r="H419" s="17" t="str">
        <x:v>Fantasy, Horror, Comedy</x:v>
      </x:c>
      <x:c r="I419" s="17"/>
      <x:c r="J419" s="17"/>
      <x:c r="K419" s="16"/>
      <x:c r="L419" s="18" t="n">
        <x:v>88</x:v>
      </x:c>
      <x:c r="M419" s="58" t="str">
        <x:v>Young Jesse moves into an old family mansion where his parents were murdered and discovers a supernatural world tied to a mystical crystal skull and his long-dead ancestor.</x:v>
      </x:c>
      <x:c r="N419" s="17" t="n">
        <x:v>32017</x:v>
      </x:c>
      <x:c r="O419" s="17" t="str">
        <x:v>Unwatched</x:v>
      </x:c>
      <x:c r="P419" s="20"/>
      <x:c r="Q419" s="17"/>
      <x:c r="R419" s="17" t="str">
        <x:v>https://www.themoviedb.org/movie/11416</x:v>
      </x:c>
      <x:c r="S419" s="17" t="str">
        <x:v>Matched</x:v>
      </x:c>
    </x:row>
    <x:row r="420" ht="90" customHeight="1">
      <x:c r="A420" s="21" t="str">
        <x:v>House III: The Horror Show</x:v>
      </x:c>
      <x:c r="B420" s="21" t="str">
        <x:v>House III: The Horror Show</x:v>
      </x:c>
      <x:c r="C420" s="2" t="n">
        <x:v>1989</x:v>
      </x:c>
      <x:c r="D420" s="15" t="str">
        <x:v>Blu-ray</x:v>
      </x:c>
      <x:c r="E420" s="16"/>
      <x:c r="F420" s="16" t="n">
        <x:v>38084</x:v>
      </x:c>
      <x:c r="G420" s="15" t="n">
        <x:v>5</x:v>
      </x:c>
      <x:c r="H420" s="17" t="str">
        <x:v>Horror, Thriller</x:v>
      </x:c>
      <x:c r="I420" s="17"/>
      <x:c r="J420" s="17"/>
      <x:c r="K420" s="16"/>
      <x:c r="L420" s="18" t="n">
        <x:v>95</x:v>
      </x:c>
      <x:c r="M420" s="58" t="str">
        <x:v>Detective Lucas McCarthy finally puts serial killer Max Jenke in the electric chair, but the murderer returns from beyond the grave to terrorize Lucas and his family.</x:v>
      </x:c>
      <x:c r="N420" s="17" t="n">
        <x:v>32626</x:v>
      </x:c>
      <x:c r="O420" s="17" t="str">
        <x:v>Unwatched</x:v>
      </x:c>
      <x:c r="P420" s="20"/>
      <x:c r="Q420" s="17"/>
      <x:c r="R420" s="17" t="str">
        <x:v>https://www.themoviedb.org/movie/38084</x:v>
      </x:c>
      <x:c r="S420" s="17" t="str">
        <x:v>Matched</x:v>
      </x:c>
    </x:row>
    <x:row r="421" ht="90" customHeight="1">
      <x:c r="A421" s="22" t="str">
        <x:v>House IV: The Repossession</x:v>
      </x:c>
      <x:c r="B421" s="22" t="str">
        <x:v>House IV: The Repossession</x:v>
      </x:c>
      <x:c r="C421" s="2" t="n">
        <x:v>1992</x:v>
      </x:c>
      <x:c r="D421" s="15" t="str">
        <x:v>Blu-ray</x:v>
      </x:c>
      <x:c r="E421" s="16"/>
      <x:c r="F421" s="16" t="n">
        <x:v>52868</x:v>
      </x:c>
      <x:c r="G421" s="15" t="n">
        <x:v>4.8</x:v>
      </x:c>
      <x:c r="H421" s="17" t="str">
        <x:v>Horror, Comedy</x:v>
      </x:c>
      <x:c r="I421" s="17"/>
      <x:c r="J421" s="17"/>
      <x:c r="K421" s="16"/>
      <x:c r="L421" s="18" t="n">
        <x:v>94</x:v>
      </x:c>
      <x:c r="M421" s="58" t="str">
        <x:v>After a car accident kills her husband, Kelly Cobb moves into the family house with her daughter and finds herself facing ghosts, supernatural threats, and a battle over the property.</x:v>
      </x:c>
      <x:c r="N421" s="17" t="n">
        <x:v>33624</x:v>
      </x:c>
      <x:c r="O421" s="17" t="str">
        <x:v>Unwatched</x:v>
      </x:c>
      <x:c r="P421" s="20"/>
      <x:c r="Q421" s="17"/>
      <x:c r="R421" s="17" t="str">
        <x:v>https://www.themoviedb.org/movie/52868</x:v>
      </x:c>
      <x:c r="S421" s="17" t="str">
        <x:v>Matched</x:v>
      </x:c>
    </x:row>
    <x:row r="422" ht="90" customHeight="1">
      <x:c r="A422" s="21" t="str">
        <x:v>Hellraiser</x:v>
      </x:c>
      <x:c r="B422" s="21" t="str">
        <x:v>Hellraiser</x:v>
      </x:c>
      <x:c r="C422" s="2" t="n">
        <x:v>1987</x:v>
      </x:c>
      <x:c r="D422" s="15" t="str">
        <x:v>4K Ultra HD</x:v>
      </x:c>
      <x:c r="E422" s="16"/>
      <x:c r="F422" s="16" t="n">
        <x:v>9003</x:v>
      </x:c>
      <x:c r="G422" s="15" t="n">
        <x:v>6.7</x:v>
      </x:c>
      <x:c r="H422" s="17" t="str">
        <x:v>Horror, Thriller</x:v>
      </x:c>
      <x:c r="I422" s="17"/>
      <x:c r="J422" s="17"/>
      <x:c r="K422" s="16"/>
      <x:c r="L422" s="18" t="n">
        <x:v>94</x:v>
      </x:c>
      <x:c r="M422" s="58" t="str">
        <x:v>An unfaithful wife encounters the zombie of her dead lover, who's being chased by demons after he escaped from their sado-masochistic Hell.</x:v>
      </x:c>
      <x:c r="N422" s="17" t="n">
        <x:v>32031</x:v>
      </x:c>
      <x:c r="O422" s="17" t="str">
        <x:v>Unwatched</x:v>
      </x:c>
      <x:c r="P422" s="20"/>
      <x:c r="Q422" s="17"/>
      <x:c r="R422" s="17" t="str">
        <x:v>https://www.themoviedb.org/movie/9003</x:v>
      </x:c>
      <x:c r="S422" s="17" t="str">
        <x:v>Matched</x:v>
      </x:c>
    </x:row>
    <x:row r="423" ht="90" customHeight="1">
      <x:c r="A423" s="22" t="str">
        <x:v>Hellbound: Hellraiser II</x:v>
      </x:c>
      <x:c r="B423" s="22" t="str">
        <x:v>Hellbound: Hellraiser II</x:v>
      </x:c>
      <x:c r="C423" s="2" t="n">
        <x:v>1988</x:v>
      </x:c>
      <x:c r="D423" s="15" t="str">
        <x:v>4K Ultra HD</x:v>
      </x:c>
      <x:c r="E423" s="16"/>
      <x:c r="F423" s="16" t="n">
        <x:v>9064</x:v>
      </x:c>
      <x:c r="G423" s="15" t="n">
        <x:v>6.4</x:v>
      </x:c>
      <x:c r="H423" s="17" t="str">
        <x:v>Horror, Thriller</x:v>
      </x:c>
      <x:c r="I423" s="17"/>
      <x:c r="J423" s="17"/>
      <x:c r="K423" s="16"/>
      <x:c r="L423" s="23" t="n">
        <x:v>97</x:v>
      </x:c>
      <x:c r="M423" s="58" t="str">
        <x:v>Doctor Channard is sent a new patient, a girl warning of the terrible creatures that destroyed her family, but his own investigations open the door to the Cenobites and their labyrinth.</x:v>
      </x:c>
      <x:c r="N423" s="17" t="n">
        <x:v>32500</x:v>
      </x:c>
      <x:c r="O423" s="17" t="str">
        <x:v>Unwatched</x:v>
      </x:c>
      <x:c r="P423" s="20"/>
      <x:c r="Q423" s="17"/>
      <x:c r="R423" s="17" t="str">
        <x:v>https://www.themoviedb.org/movie/9064</x:v>
      </x:c>
      <x:c r="S423" s="17" t="str">
        <x:v>Matched</x:v>
      </x:c>
    </x:row>
    <x:row r="424" ht="90" customHeight="1">
      <x:c r="A424" s="21" t="str">
        <x:v>Hellraiser III: Hell on Earth</x:v>
      </x:c>
      <x:c r="B424" s="21" t="str">
        <x:v>Hellraiser III: Hell on Earth</x:v>
      </x:c>
      <x:c r="C424" s="2" t="n">
        <x:v>1992</x:v>
      </x:c>
      <x:c r="D424" s="15" t="str">
        <x:v>4K Ultra HD</x:v>
      </x:c>
      <x:c r="E424" s="16"/>
      <x:c r="F424" s="16" t="n">
        <x:v>11569</x:v>
      </x:c>
      <x:c r="G424" s="15" t="n">
        <x:v>5.7</x:v>
      </x:c>
      <x:c r="H424" s="17" t="str">
        <x:v>Horror, Thriller</x:v>
      </x:c>
      <x:c r="I424" s="17"/>
      <x:c r="J424" s="17"/>
      <x:c r="K424" s="16"/>
      <x:c r="L424" s="18" t="n">
        <x:v>93</x:v>
      </x:c>
      <x:c r="M424" s="58" t="str">
        <x:v>Pinhead is trapped in a sculpture and uses a nightclub owner to escape, forcing a reporter to uncover the truth and stop the Cenobites from unleashing hell on Earth.</x:v>
      </x:c>
      <x:c r="N424" s="17" t="n">
        <x:v>33858</x:v>
      </x:c>
      <x:c r="O424" s="17" t="str">
        <x:v>Unwatched</x:v>
      </x:c>
      <x:c r="P424" s="20"/>
      <x:c r="Q424" s="17"/>
      <x:c r="R424" s="17" t="str">
        <x:v>https://www.themoviedb.org/movie/11569</x:v>
      </x:c>
      <x:c r="S424" s="17" t="str">
        <x:v>Matched</x:v>
      </x:c>
    </x:row>
    <x:row r="425" ht="90" customHeight="1">
      <x:c r="A425" s="22" t="str">
        <x:v>Hellraiser: Bloodline</x:v>
      </x:c>
      <x:c r="B425" s="22" t="str">
        <x:v>Hellraiser: Bloodline</x:v>
      </x:c>
      <x:c r="C425" s="2" t="n">
        <x:v>1996</x:v>
      </x:c>
      <x:c r="D425" s="15" t="str">
        <x:v>4K Ultra HD</x:v>
      </x:c>
      <x:c r="E425" s="16"/>
      <x:c r="F425" s="16" t="n">
        <x:v>8766</x:v>
      </x:c>
      <x:c r="G425" s="15" t="n">
        <x:v>5.3</x:v>
      </x:c>
      <x:c r="H425" s="17" t="str">
        <x:v>Horror, Science Fiction</x:v>
      </x:c>
      <x:c r="I425" s="17"/>
      <x:c r="J425" s="17"/>
      <x:c r="K425" s="16"/>
      <x:c r="L425" s="18" t="n">
        <x:v>86</x:v>
      </x:c>
      <x:c r="M425" s="58" t="str">
        <x:v>In the 22nd century, a scientist attempts to close the gateway to hell that his ancestor unknowingly opened when he created the puzzle box centuries earlier.</x:v>
      </x:c>
      <x:c r="N425" s="17" t="n">
        <x:v>35132</x:v>
      </x:c>
      <x:c r="O425" s="17" t="str">
        <x:v>Unwatched</x:v>
      </x:c>
      <x:c r="P425" s="20"/>
      <x:c r="Q425" s="17"/>
      <x:c r="R425" s="17" t="str">
        <x:v>https://www.themoviedb.org/movie/8766</x:v>
      </x:c>
      <x:c r="S425" s="17" t="str">
        <x:v>Matched</x:v>
      </x:c>
    </x:row>
    <x:row r="426" ht="90" customHeight="1">
      <x:c r="A426" s="21" t="str">
        <x:v>The Curse</x:v>
      </x:c>
      <x:c r="B426" s="21" t="str">
        <x:v>The Curse</x:v>
      </x:c>
      <x:c r="C426" s="2" t="n">
        <x:v>1987</x:v>
      </x:c>
      <x:c r="D426" s="15" t="str">
        <x:v>Blu-ray</x:v>
      </x:c>
      <x:c r="E426" s="16"/>
      <x:c r="F426" s="16" t="n">
        <x:v>74747</x:v>
      </x:c>
      <x:c r="G426" s="15" t="n">
        <x:v>5.1</x:v>
      </x:c>
      <x:c r="H426" s="17" t="str">
        <x:v>Horror, Science Fiction</x:v>
      </x:c>
      <x:c r="I426" s="17"/>
      <x:c r="J426" s="17"/>
      <x:c r="K426" s="16"/>
      <x:c r="L426" s="18" t="n">
        <x:v>92</x:v>
      </x:c>
      <x:c r="M426" s="58" t="str">
        <x:v>When a meteorite crashes near a Tennessee farm, it poisons the water and crops, causing grotesque mutations and terrorizing the family that lives there.</x:v>
      </x:c>
      <x:c r="N426" s="17" t="n">
        <x:v>32031</x:v>
      </x:c>
      <x:c r="O426" s="17" t="str">
        <x:v>Unwatched</x:v>
      </x:c>
      <x:c r="P426" s="20"/>
      <x:c r="Q426" s="17"/>
      <x:c r="R426" s="17" t="str">
        <x:v>https://www.themoviedb.org/movie/74747</x:v>
      </x:c>
      <x:c r="S426" s="17" t="str">
        <x:v>Matched</x:v>
      </x:c>
    </x:row>
    <x:row r="427" ht="90" customHeight="1">
      <x:c r="A427" s="22" t="str">
        <x:v>The Curse 2</x:v>
      </x:c>
      <x:c r="B427" s="22" t="str">
        <x:v>The Curse 2</x:v>
      </x:c>
      <x:c r="C427" s="2" t="n">
        <x:v>1989</x:v>
      </x:c>
      <x:c r="D427" s="15" t="str">
        <x:v>Blu-ray</x:v>
      </x:c>
      <x:c r="E427" s="24"/>
      <x:c r="F427" s="16"/>
      <x:c r="G427" s="15" t="n">
        <x:v>4.9</x:v>
      </x:c>
      <x:c r="H427" s="17" t="str">
        <x:v>Horror</x:v>
      </x:c>
      <x:c r="I427" s="17"/>
      <x:c r="J427" s="17"/>
      <x:c r="K427" s="16"/>
      <x:c r="L427" s="18" t="n">
        <x:v>98</x:v>
      </x:c>
      <x:c r="M427" s="58" t="str">
        <x:v>After a young man is bitten by a radioactive snake, his hand begins transforming into a deadly snake-like creature as the infection spreads through his body.</x:v>
      </x:c>
      <x:c r="N427" s="17" t="n">
        <x:v>32686</x:v>
      </x:c>
      <x:c r="O427" s="17" t="str">
        <x:v>Unwatched</x:v>
      </x:c>
      <x:c r="P427" s="20"/>
      <x:c r="Q427" s="17"/>
      <x:c r="R427" s="17"/>
      <x:c r="S427" s="17"/>
    </x:row>
    <x:row r="428" ht="90" customHeight="1">
      <x:c r="A428" s="21" t="str">
        <x:v>Ju on: The Grudge</x:v>
      </x:c>
      <x:c r="B428" s="21" t="str">
        <x:v>Ju on: The Grudge</x:v>
      </x:c>
      <x:c r="C428" s="2" t="n">
        <x:v>2002</x:v>
      </x:c>
      <x:c r="D428" s="15" t="str">
        <x:v>Blu-ray</x:v>
      </x:c>
      <x:c r="E428" s="16"/>
      <x:c r="F428" s="16" t="n">
        <x:v>11838</x:v>
      </x:c>
      <x:c r="G428" s="15" t="n">
        <x:v>6.7</x:v>
      </x:c>
      <x:c r="H428" s="17" t="str">
        <x:v>Horror</x:v>
      </x:c>
      <x:c r="I428" s="17"/>
      <x:c r="J428" s="17"/>
      <x:c r="K428" s="16"/>
      <x:c r="L428" s="23" t="n">
        <x:v>92</x:v>
      </x:c>
      <x:c r="M428" s="58" t="str">
        <x:v>A mysterious and vengeful spirit marks and pursues anybody who dares enter the house in which it resides.</x:v>
      </x:c>
      <x:c r="N428" s="17" t="n">
        <x:v>37547</x:v>
      </x:c>
      <x:c r="O428" s="17" t="str">
        <x:v>Unwatched</x:v>
      </x:c>
      <x:c r="P428" s="20"/>
      <x:c r="Q428" s="17"/>
      <x:c r="R428" s="17" t="str">
        <x:v>https://www.themoviedb.org/movie/11838</x:v>
      </x:c>
      <x:c r="S428" s="17" t="str">
        <x:v>Matched</x:v>
      </x:c>
    </x:row>
    <x:row r="429" ht="15.75" customHeight="1">
      <x:c r="A429" s="22" t="s">
        <x:v>19</x:v>
      </x:c>
      <x:c r="B429" s="22" t="s">
        <x:v>19</x:v>
      </x:c>
      <x:c r="C429" s="2">
        <x:v>2003.0</x:v>
      </x:c>
      <x:c r="D429" s="15" t="s">
        <x:v>20</x:v>
      </x:c>
      <x:c r="E429" s="24"/>
      <x:c r="F429" s="16">
        <x:v>6.2</x:v>
      </x:c>
      <x:c r="G429" s="15" t="s">
        <x:v>21</x:v>
      </x:c>
      <x:c r="H429" s="17"/>
      <x:c r="I429" s="17"/>
      <x:c r="J429" s="17"/>
      <x:c r="K429" s="16">
        <x:v>92.0</x:v>
      </x:c>
      <x:c r="L429" s="18">
        <x:v>37856.0</x:v>
      </x:c>
      <x:c r="M429" s="19" t="s">
        <x:v>22</x:v>
      </x:c>
      <x:c r="N429" s="17"/>
      <x:c r="O429" s="17"/>
      <x:c r="P429" s="20"/>
      <x:c r="Q429" s="17"/>
      <x:c r="R429" s="17"/>
      <x:c r="S429" s="17"/>
    </x:row>
    <x:row r="430" ht="15.75" customHeight="1">
      <x:c r="A430" s="21" t="s">
        <x:v>23</x:v>
      </x:c>
      <x:c r="B430" s="21" t="s">
        <x:v>23</x:v>
      </x:c>
      <x:c r="C430" s="2">
        <x:v>2009.0</x:v>
      </x:c>
      <x:c r="D430" s="15" t="s">
        <x:v>20</x:v>
      </x:c>
      <x:c r="E430" s="25"/>
      <x:c r="F430" s="16">
        <x:v>5.9</x:v>
      </x:c>
      <x:c r="G430" s="15" t="s">
        <x:v>24</x:v>
      </x:c>
      <x:c r="H430" s="17"/>
      <x:c r="I430" s="17"/>
      <x:c r="J430" s="17"/>
      <x:c r="K430" s="16">
        <x:v>61.0</x:v>
      </x:c>
      <x:c r="L430" s="18">
        <x:v>39991.0</x:v>
      </x:c>
      <x:c r="M430" s="19" t="s">
        <x:v>25</x:v>
      </x:c>
      <x:c r="N430" s="17"/>
      <x:c r="O430" s="17"/>
      <x:c r="P430" s="20"/>
      <x:c r="Q430" s="17"/>
      <x:c r="R430" s="17"/>
      <x:c r="S430" s="17"/>
    </x:row>
    <x:row r="431" ht="15.75" customHeight="1">
      <x:c r="A431" s="22" t="s">
        <x:v>26</x:v>
      </x:c>
      <x:c r="B431" s="22" t="s">
        <x:v>26</x:v>
      </x:c>
      <x:c r="C431" s="2">
        <x:v>2009.0</x:v>
      </x:c>
      <x:c r="D431" s="15" t="s">
        <x:v>20</x:v>
      </x:c>
      <x:c r="E431" s="25"/>
      <x:c r="F431" s="16">
        <x:v>5.2</x:v>
      </x:c>
      <x:c r="G431" s="15" t="s">
        <x:v>24</x:v>
      </x:c>
      <x:c r="H431" s="17"/>
      <x:c r="I431" s="17"/>
      <x:c r="J431" s="17"/>
      <x:c r="K431" s="16">
        <x:v>60.0</x:v>
      </x:c>
      <x:c r="L431" s="18">
        <x:v>39991.0</x:v>
      </x:c>
      <x:c r="M431" s="19" t="s">
        <x:v>27</x:v>
      </x:c>
      <x:c r="N431" s="17"/>
      <x:c r="O431" s="17"/>
      <x:c r="P431" s="20"/>
      <x:c r="Q431" s="17"/>
      <x:c r="R431" s="17"/>
      <x:c r="S431" s="17"/>
    </x:row>
    <x:row r="432" ht="15.75" customHeight="1">
      <x:c r="A432" s="22"/>
      <x:c r="B432" s="22"/>
      <x:c r="C432" s="26"/>
      <x:c r="D432" s="27"/>
      <x:c r="E432" s="25"/>
      <x:c r="F432" s="28"/>
      <x:c r="G432" s="27"/>
      <x:c r="H432" s="17"/>
      <x:c r="I432" s="17"/>
      <x:c r="J432" s="17"/>
      <x:c r="K432" s="28"/>
      <x:c r="L432" s="28"/>
      <x:c r="M432" s="29"/>
      <x:c r="N432" s="17"/>
      <x:c r="O432" s="17"/>
      <x:c r="P432" s="20"/>
      <x:c r="Q432" s="17"/>
      <x:c r="R432" s="17"/>
      <x:c r="S432" s="17"/>
    </x:row>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O2:O414">
    <x:cfRule type="expression" dxfId="4" priority="1">
      <x:formula>$O2="Watched"</x:formula>
    </x:cfRule>
  </x:conditionalFormatting>
  <x:conditionalFormatting sqref="O2:O414">
    <x:cfRule type="expression" dxfId="5" priority="2">
      <x:formula>$O2="Unwatched"</x:formula>
    </x:cfRule>
  </x:conditionalFormatting>
  <x:dataValidations count="8">
    <x:dataValidation type="list" allowBlank="1" sqref="P2:P414">
      <x:formula1>"1,2,3,4,5"</x:formula1>
    </x:dataValidation>
    <x:dataValidation type="list" allowBlank="1" showErrorMessage="1" sqref="G2:G431">
      <x:formula1>"Adventure, Action, Drama, Fantasy,Science Fiction, Mystery, Adventure,Horror, Thriller,Action, Adventure, Comedy,Comedy, Romance,Drama,Horror, Mystery,Thriller, Horror,Horror,Comedy, Crime, Mystery,Comedy, Drama, Romance,Family, Comedy,War, Action,Comedy,"&amp;"Action, Adventure, Fantasy,Drama, Comedy, Crime,Drama, Crime, Action,Drama, Thriller, Action,Comedy, Horror, Thriller,Comedy, Crime,Horror, Comedy,Science Fiction, Drama,Comedy, Horror,Drama, Comedy,Action, Drama, Mystery, Thriller,Science Fiction, Thrill"&amp;"er, Comedy,Horror, Mystery, Comedy,Science Fiction, Crime,Horror, Thriller, Drama, Comedy,Thriller, Science Fiction,Horror, Science Fiction, Thriller,Action, Thriller,Horror, Mystery, Thriller,Action, Comedy, Crime,Animation, Family, Fantasy,Mystery, Horr"&amp;"or, Action,Crime, Thriller, Horror, Mystery,Action, Crime, Thriller,Action, Crime, Drama, Thriller,Horror, Science Fiction,Science Fiction, Action, Drama, Thriller,Science Fiction, Thriller, Adventure,Adventure, Horror,Drama, Horror, Crime,Thriller, Drama"&amp;", Mystery,Horror, Fantasy,Fantasy, Comedy, Adventure,Drama, Horror, Science Fiction, Thriller,Adventure, Science Fiction, Family,Drama, Romance, Comedy,Horror, Comedy, Fantasy,Drama, Science Fiction,Horror, Drama,Thriller, Adventure, Action,Action, Advent"&amp;"ure, Thriller,Drama, Thriller, Mystery,Action, Horror, Thriller,Romance, Comedy,Drama, Horror, Action, Thriller,Drama, Horror, Thriller,Comedy, Drama,War, Drama, Action,Comedy, Drama, Crime,Action, Science Fiction, Adventure,Science Fiction, Action,Drama,"&amp;" Romance,Fantasy, Horror, Comedy,Comedy, Horror, Fantasy,Mystery, Horror, Thriller,Drama, History, War,Horror, Science Fiction, Mystery,Fantasy, Action,Comedy, Adventure,Crime, Horror, Thriller, Drama,Horror, Thriller, Mystery,Adventure, Fantasy, Action,F"&amp;"antasy, Adventure, Action,Science Fiction, Comedy, Adventure,Drama, Horror, Crime, Thriller,Fantasy, Adventure, Animation, Family,Fantasy, Action, Adventure, Animation, Family,Animation, Family, Adventure,Science Fiction, Adventure, Thriller,Action, Adven"&amp;"ture, Science Fiction,Adventure, Drama, Science Fiction,Horror, Thriller, Drama,Drama, War,Horror, Thriller, Adventure,Comedy, Adventure, Action,Action, Thriller, Crime,Adventure, Science Fiction,Adventure, Thriller, Science Fiction,Adventure, Science Fic"&amp;"tion, Thriller,Science Fiction, Adventure, Action,Action, Crime,Action, Adventure, Crime,Adventure, Drama, Action,Action, Mystery, Science Fiction, Thriller,Adventure, Family, Fantasy,Crime, Thriller, Horror, Drama,Adventure, Action, Science Fiction,Scien"&amp;"ce Fiction, Horror,Family, Fantasy, Adventure,Horror, Drama, Thriller,Action, Science Fiction,Adventure, Action, Thriller, Science Fiction,Science Fiction, Action, Adventure,Comedy, Fantasy,Crime, Drama, Thriller,Horror, Mystery, Fantasy,Horror, Thriller,"&amp;" Fantasy,Comedy, Western,Adventure, Action, Thriller,History, Drama,Adventure, Action, Thriller, Mystery,Crime, Thriller, Drama,Crime, Thriller, Western,Thriller, Crime,Comedy, Crime, Drama,Drama, Thriller, Mystery, Action,Comedy, Thriller, Drama,Adventur"&amp;"e, Comedy, Science Fiction,Comedy, Music, Romance,Comedy, Music,Horror, Action, Thriller,Adventure, Fantasy, Animation, Action, Family,Animation, Family, Adventure, Fantasy, Action,Adventure, Fantasy, Animation, Science Fiction, Family,Horror, Mystery, Cr"&amp;"ime, Thriller,Science Fiction, Drama, Thriller,Comedy, Romance, Drama,Science Fiction, Horror, Thriller,Thriller, Action, Drama, Science Fiction,Action, Thriller, Science Fiction,Horror, Mystery, Crime,Horror, Thriller, Crime,Horror, Crime,Crime, Horror, "&amp;"Mystery,Horror, Mystery, Drama,Animation, Comedy, Family,Action, Science Fiction, Comedy, Family,Animation, Comedy,Comedy, Science Fiction,Drama, Horror, Mystery,Thriller, Science Fiction, Mystery,Family, Comedy, Adventure, Fantasy, Animation,Adventure, A"&amp;"ction, Comedy,Comedy, Music, Fantasy, Adventure,Horror, Documentary,Adventure, Family, Mystery, Science Fiction,Horror, Fantasy, Comedy,Action, Comedy, Adventure, War,Drama, Science Fiction, War,Comedy, Action, Science Fiction,Drama, Thriller,Action, Dram"&amp;"a, Thriller,Drama, Romance, Fantasy,Fantasy, Adventure, Romance,Crime, Drama, Comedy,Crime, Mystery, Thriller"</x:formula1>
    </x:dataValidation>
    <x:dataValidation type="list" allowBlank="1" showErrorMessage="1" sqref="K2:K431">
      <x:formula1>"109,149,115,113,83,116,128,78,84,95,80,129,86,107,81,82,133,85,119,99,106,110,143,93,88,92,140,91,117,103,114,164,156,89,87,90,137,97,112,134,136,111,100,101,120,152,165,130,123,105,121,96,108,122,160,146,135,104,132,94,102,139,98,169,144,161,118,124,131,"&amp;"170,127,147,188,179,201,138,148,126,158,14,73,77,10,142,141,21,125,162,180,157"</x:formula1>
    </x:dataValidation>
    <x:dataValidation type="list" allowBlank="1" showErrorMessage="1" sqref="Q2:Q431">
      <x:formula1>"https://www.themoviedb.org/movie/7840,https://www.themoviedb.org/movie/62,https://www.themoviedb.org/movie/489064,https://www.themoviedb.org/movie/4513,https://www.themoviedb.org/movie/62206,https://www.themoviedb.org/movie/6957,https://www.themoviedb.org"&amp;"/movie/109410,https://www.themoviedb.org/movie/8329,https://www.themoviedb.org/movie/10664,https://www.themoviedb.org/movie/185341,https://www.themoviedb.org/movie/80280,https://www.themoviedb.org/movie/87436,https://www.themoviedb.org/movie/3049,https://"&amp;"www.themoviedb.org/movie/16614,https://www.themoviedb.org/movie/218778,https://www.themoviedb.org/movie/231001,https://www.themoviedb.org/movie/190859,https://www.themoviedb.org/movie/13803,https://www.themoviedb.org/movie/109443,https://www.themoviedb.or"&amp;"g/movie/250546,https://www.themoviedb.org/movie/521029,https://www.themoviedb.org/movie/396422,https://www.themoviedb.org/movie/297802,https://www.themoviedb.org/movie/256274,https://www.themoviedb.org/movie/29545,https://www.themoviedb.org/movie/397243,h"&amp;"ttps://www.themoviedb.org/movie/208134,https://www.themoviedb.org/movie/10147,https://www.themoviedb.org/movie/272,https://www.themoviedb.org/movie/3176,https://www.themoviedb.org/movie/10961,https://www.themoviedb.org/movie/115,https://www.themoviedb.org"&amp;"/movie/756999,https://www.themoviedb.org/movie/1197137,https://www.themoviedb.org/movie/3603,https://www.themoviedb.org/movie/335984,https://www.themoviedb.org/movie/472226,https://www.themoviedb.org/movie/4995,https://www.themoviedb.org/movie/496,https:/"&amp;"/www.themoviedb.org/movie/2501,https://www.themoviedb.org/movie/11932,https://www.themoviedb.org/movie/18480,https://www.themoviedb.org/movie/701387,https://www.themoviedb.org/movie/11547,https://www.themoviedb.org/movie/22970,https://www.themoviedb.org/m"&amp;"ovie/77953,https://www.themoviedb.org/movie/8689,https://www.themoviedb.org/movie/744746,https://www.themoviedb.org/movie/10585,https://www.themoviedb.org/movie/11186,https://www.themoviedb.org/movie/11187,https://www.themoviedb.org/movie/185,https://www."&amp;"themoviedb.org/movie/840,https://www.themoviedb.org/movie/1056380,https://www.themoviedb.org/movie/220289,https://www.themoviedb.org/movie/134597,https://www.themoviedb.org/movie/21407,https://www.themoviedb.org/movie/1084199,https://www.themoviedb.org/mo"&amp;"vie/140212,https://www.themoviedb.org/movie/138843,https://www.themoviedb.org/movie/259693,https://www.themoviedb.org/movie/1038392,https://www.themoviedb.org/movie/423108,https://www.themoviedb.org/movie/23742,https://www.themoviedb.org/movie/14836,https"&amp;"://www.themoviedb.org/movie/29427,https://www.themoviedb.org/movie/250574,https://www.themoviedb.org/movie/16281,https://www.themoviedb.org/movie/16288,https://www.themoviedb.org/movie/393345,https://www.themoviedb.org/movie/36095,https://www.themoviedb.o"&amp;"rg/movie/167032,https://www.themoviedb.org/movie/155,https://www.themoviedb.org/movie/49026,https://www.themoviedb.org/movie/924,https://www.themoviedb.org/movie/119450,https://www.themoviedb.org/movie/435,https://www.themoviedb.org/movie/14001,https://ww"&amp;"w.themoviedb.org/movie/9392,https://www.themoviedb.org/movie/1696,https://www.themoviedb.org/movie/76493,https://www.themoviedb.org/movie/8271,https://www.themoviedb.org/movie/501170,https://www.themoviedb.org/movie/1832,https://www.themoviedb.org/movie/6"&amp;"171,https://www.themoviedb.org/movie/8457,https://www.themoviedb.org/movie/601,https://www.themoviedb.org/movie/9454,https://www.themoviedb.org/movie/109428,https://www.themoviedb.org/movie/765,https://www.themoviedb.org/movie/713704,https://www.themovied"&amp;"b.org/movie/264660,https://www.themoviedb.org/movie/9552,https://www.themoviedb.org/movie/11587,https://www.themoviedb.org/movie/27578,https://www.themoviedb.org/movie/76163,https://www.themoviedb.org/movie/345,https://www.themoviedb.org/movie/442249,http"&amp;"s://www.themoviedb.org/movie/6466,https://www.themoviedb.org/movie/11284,https://www.themoviedb.org/movie/4488,https://www.themoviedb.org/movie/13207,https://www.themoviedb.org/movie/9728,https://www.themoviedb.org/movie/9725,https://www.themoviedb.org/mo"&amp;"vie/9731,https://www.themoviedb.org/movie/10225,https://www.themoviedb.org/movie/10281,https://www.themoviedb.org/movie/10283,https://www.themoviedb.org/movie/9730,https://www.themoviedb.org/movie/50544,https://www.themoviedb.org/movie/13492,https://www.t"&amp;"hemoviedb.org/movie/10234,https://www.themoviedb.org/movie/20829,https://www.themoviedb.org/movie/228150,https://www.themoviedb.org/movie/257091,https://www.themoviedb.org/movie/9645,https://www.themoviedb.org/movie/74306,https://www.themoviedb.org/movie/"&amp;"399566,https://www.themoviedb.org/movie/373571,https://www.themoviedb.org/movie/508642,https://www.themoviedb.org/movie/63064,https://www.themoviedb.org/movie/50698,https://www.themoviedb.org/movie/64682,https://www.themoviedb.org/movie/927,https://www.th"&amp;"emoviedb.org/movie/928,https://www.themoviedb.org/movie/465086,https://www.themoviedb.org/movie/1970,https://www.themoviedb.org/movie/1975,https://www.themoviedb.org/movie/1977,https://www.themoviedb.org/movie/118340,https://www.themoviedb.org/movie/32478"&amp;"6,https://www.themoviedb.org/movie/424139,https://www.themoviedb.org/movie/948,https://www.themoviedb.org/movie/2082,https://www.themoviedb.org/movie/616820,https://www.themoviedb.org/movie/24150,https://www.themoviedb.org/movie/11281,https://www.themovie"&amp;"db.org/movie/10676,https://www.themoviedb.org/movie/610253,https://www.themoviedb.org/movie/8960,https://www.themoviedb.org/movie/18785,https://www.themoviedb.org/movie/45243,https://www.themoviedb.org/movie/109439,https://www.themoviedb.org/movie/10683,h"&amp;"ttps://www.themoviedb.org/movie/9614,https://www.themoviedb.org/movie/13335,https://www.themoviedb.org/movie/11282,https://www.themoviedb.org/movie/429476,https://www.themoviedb.org/movie/532973,https://www.themoviedb.org/movie/614722,https://www.themovie"&amp;"db.org/movie/1035982,https://www.themoviedb.org/movie/359246,https://www.themoviedb.org/movie/10692,https://www.themoviedb.org/movie/493922,https://www.themoviedb.org/movie/1138194,https://www.themoviedb.org/movie/10226,https://www.themoviedb.org/movie/97"&amp;"92,https://www.themoviedb.org/movie/9793,https://www.themoviedb.org/movie/24001,https://www.themoviedb.org/movie/49051,https://www.themoviedb.org/movie/122917,https://www.themoviedb.org/movie/57158,https://www.themoviedb.org/movie/51540,https://www.themov"&amp;"iedb.org/movie/153188,https://www.themoviedb.org/movie/1691,https://www.themoviedb.org/movie/23048,https://www.themoviedb.org/movie/2662,https://www.themoviedb.org/movie/10066,https://www.themoviedb.org/movie/398173,https://www.themoviedb.org/movie/293572"&amp;",https://www.themoviedb.org/movie/466344,https://www.themoviedb.org/movie/10191,https://www.themoviedb.org/movie/82702,https://www.themoviedb.org/movie/166428,https://www.themoviedb.org/movie/74997,https://www.themoviedb.org/movie/94365,https://www.themov"&amp;"iedb.org/movie/37169,https://www.themoviedb.org/movie/131631,https://www.themoviedb.org/movie/131634,https://www.themoviedb.org/movie/376570,https://www.themoviedb.org/movie/667216,https://www.themoviedb.org/movie/13312,https://www.themoviedb.org/movie/91"&amp;"586,https://www.themoviedb.org/movie/280092,https://www.themoviedb.org/movie/157336,https://www.themoviedb.org/movie/346364,https://www.themoviedb.org/movie/270303,https://www.themoviedb.org/movie/474350,https://www.themoviedb.org/movie/25,https://www.the"&amp;"moviedb.org/movie/10285,https://www.themoviedb.org/movie/11470,https://www.themoviedb.org/movie/578,https://www.themoviedb.org/movie/2294,https://www.themoviedb.org/movie/8922,https://www.themoviedb.org/movie/11351,https://www.themoviedb.org/movie/298250,"&amp;"https://www.themoviedb.org/movie/245891,https://www.themoviedb.org/movie/324552,https://www.themoviedb.org/movie/458156,https://www.themoviedb.org/movie/603692,https://www.themoviedb.org/movie/11838,https://www.themoviedb.org/movie/329,https://www.themovi"&amp;"edb.org/movie/331,https://www.themoviedb.org/movie/135397,https://www.themoviedb.org/movie/507086,https://www.themoviedb.org/movie/351286,https://www.themoviedb.org/movie/1234821,https://www.themoviedb.org/movie/23483,https://www.themoviedb.org/movie/5985"&amp;"9,https://www.themoviedb.org/movie/254,https://www.themoviedb.org/movie/13811,https://www.themoviedb.org/movie/293167,https://www.themoviedb.org/movie/287903,https://www.themoviedb.org/movie/13597,https://www.themoviedb.org/movie/27374,https://www.themovi"&amp;"edb.org/movie/11683,https://www.themoviedb.org/movie/18405,https://www.themoviedb.org/movie/345911,https://www.themoviedb.org/movie/120,https://www.themoviedb.org/movie/122,https://www.themoviedb.org/movie/121,https://www.themoviedb.org/movie/330,https://"&amp;"www.themoviedb.org/movie/536554,https://www.themoviedb.org/movie/420809,https://www.themoviedb.org/movie/619778,https://www.themoviedb.org/movie/9539,https://www.themoviedb.org/movie/603,https://www.themoviedb.org/movie/604,https://www.themoviedb.org/movi"&amp;"e/624860,https://www.themoviedb.org/movie/605,https://www.themoviedb.org/movie/1023922,https://www.themoviedb.org/movie/7278,https://www.themoviedb.org/movie/11423,https://www.themoviedb.org/movie/10185,https://www.themoviedb.org/movie/14686,https://www.t"&amp;"hemoviedb.org/movie/188161,https://www.themoviedb.org/movie/954,https://www.themoviedb.org/movie/955,https://www.themoviedb.org/movie/5876,https://www.themoviedb.org/movie/82695,https://www.themoviedb.org/movie/381283,https://www.themoviedb.org/movie/8781"&amp;"8,https://www.themoviedb.org/movie/1018,https://www.themoviedb.org/movie/2059,https://www.themoviedb.org/movie/241,https://www.themoviedb.org/movie/195589,https://www.themoviedb.org/movie/242582,https://www.themoviedb.org/movie/23437,https://www.themovied"&amp;"b.org/movie/377,https://www.themoviedb.org/movie/10014,https://www.themoviedb.org/movie/10072,https://www.themoviedb.org/movie/10131,https://www.themoviedb.org/movie/10160,https://www.themoviedb.org/movie/6977,https://www.themoviedb.org/movie/41630,https:"&amp;"//www.themoviedb.org/movie/762504,https://www.themoviedb.org/movie/75656,https://www.themoviedb.org/movie/439079,https://www.themoviedb.org/movie/16991,https://www.themoviedb.org/movie/385938,https://www.themoviedb.org/movie/1216191,https://www.themoviedb"&amp;".org/movie/11635,https://www.themoviedb.org/movie/670,https://www.themoviedb.org/movie/1933,https://www.themoviedb.org/movie/335796,https://www.themoviedb.org/movie/59968,https://www.themoviedb.org/movie/23827,https://www.themoviedb.org/movie/41436,https:"&amp;"//www.themoviedb.org/movie/72571,https://www.themoviedb.org/movie/82990,https://www.themoviedb.org/movie/146301,https://www.themoviedb.org/movie/227348,https://www.themoviedb.org/movie/496243,https://www.themoviedb.org/movie/39513,https://www.themoviedb.o"&amp;"rg/movie/949423,https://www.themoviedb.org/movie/8913,https://www.themoviedb.org/movie/10189,https://www.themoviedb.org/movie/114150,https://www.themoviedb.org/movie/254470,https://www.themoviedb.org/movie/1992,https://www.themoviedb.org/movie/10991,https"&amp;"://www.themoviedb.org/movie/10228,https://www.themoviedb.org/movie/12599,https://www.themoviedb.org/movie/609,https://www.themoviedb.org/movie/38410,https://www.themoviedb.org/movie/14337,https://www.themoviedb.org/movie/18240,https://www.themoviedb.org/m"&amp;"ovie/27324,https://www.themoviedb.org/movie/158015,https://www.themoviedb.org/movie/238636,https://www.themoviedb.org/movie/316727,https://www.themoviedb.org/movie/995725,https://www.themoviedb.org/movie/567609,https://www.themoviedb.org/movie/333339,http"&amp;"s://www.themoviedb.org/movie/13564,https://www.themoviedb.org/movie/565,https://www.themoviedb.org/movie/2671,https://www.themoviedb.org/movie/10320,https://www.themoviedb.org/movie/14564,https://www.themoviedb.org/movie/61791,https://www.themoviedb.org/m"&amp;"ovie/5548,https://www.themoviedb.org/movie/776797,https://www.themoviedb.org/movie/176,https://www.themoviedb.org/movie/215,https://www.themoviedb.org/movie/214,https://www.themoviedb.org/movie/663,https://www.themoviedb.org/movie/11917,https://www.themov"&amp;"iedb.org/movie/22804,https://www.themoviedb.org/movie/41439,https://www.themoviedb.org/movie/4247,https://www.themoviedb.org/movie/4248,https://www.themoviedb.org/movie/4256,https://www.themoviedb.org/movie/4232,https://www.themoviedb.org/movie/4233,https"&amp;"://www.themoviedb.org/movie/4234,https://www.themoviedb.org/movie/41446,https://www.themoviedb.org/movie/11249,https://www.themoviedb.org/movie/13260,https://www.themoviedb.org/movie/10972,https://www.themoviedb.org/movie/465948,https://www.themoviedb.org"&amp;"/movie/747,https://www.themoviedb.org/movie/694,https://www.themoviedb.org/movie/14456,https://www.themoviedb.org/movie/11324,https://www.themoviedb.org/movie/274,https://www.themoviedb.org/movie/35,https://www.themoviedb.org/movie/82507,https://www.themo"&amp;"viedb.org/movie/283445,https://www.themoviedb.org/movie/1233413,https://www.themoviedb.org/movie/882598,https://www.themoviedb.org/movie/454626,https://www.themoviedb.org/movie/27022,https://www.themoviedb.org/movie/9473,https://www.themoviedb.org/movie/9"&amp;"57,https://www.themoviedb.org/movie/557,https://www.themoviedb.org/movie/558,https://www.themoviedb.org/movie/559,https://www.themoviedb.org/movie/23988,https://www.themoviedb.org/movie/1893,https://www.themoviedb.org/movie/1894,https://www.themoviedb.org"&amp;"/movie/1895,https://www.themoviedb.org/movie/11,https://www.themoviedb.org/movie/1891,https://www.themoviedb.org/movie/1892,https://www.themoviedb.org/movie/10665,https://www.themoviedb.org/movie/933260,https://www.themoviedb.org/movie/470229,https://www."&amp;"themoviedb.org/movie/37686,https://www.themoviedb.org/movie/1226863,https://www.themoviedb.org/movie/8363,https://www.themoviedb.org/movie/1061474,https://www.themoviedb.org/movie/82675,https://www.themoviedb.org/movie/297608,https://www.themoviedb.org/mo"&amp;"vie/1118584,https://www.themoviedb.org/movie/38757,https://www.themoviedb.org/movie/3989,https://www.themoviedb.org/movie/214756,https://www.themoviedb.org/movie/2179,https://www.themoviedb.org/movie/296,https://www.themoviedb.org/movie/489430,https://www"&amp;".themoviedb.org/movie/420634,https://www.themoviedb.org/movie/663712,https://www.themoviedb.org/movie/1034541,https://www.themoviedb.org/movie/47894,https://www.themoviedb.org/movie/30497,https://www.themoviedb.org/movie/9373,https://www.themoviedb.org/mo"&amp;"vie/87428,https://www.themoviedb.org/movie/76338,https://www.themoviedb.org/movie/158852,https://www.themoviedb.org/movie/23202,https://www.themoviedb.org/movie/7446,https://www.themoviedb.org/movie/46838,https://www.themoviedb.org/movie/13788,https://www"&amp;".themoviedb.org/movie/145197,https://www.themoviedb.org/movie/10292,https://www.themoviedb.org/movie/458723,https://www.themoviedb.org/movie/159117,https://www.themoviedb.org/movie/1032948,https://www.themoviedb.org/movie/753453,https://www.themoviedb.org"&amp;"/movie/1005776,https://www.themoviedb.org/movie/1190868,https://www.themoviedb.org/movie/10294,https://www.themoviedb.org/movie/55465,https://www.themoviedb.org/movie/837,https://www.themoviedb.org/movie/293670,https://www.themoviedb.org/movie/281338,http"&amp;"s://www.themoviedb.org/movie/80035,https://www.themoviedb.org/movie/71859,https://www.themoviedb.org/movie/138832,https://www.themoviedb.org/movie/1078605,https://www.themoviedb.org/movie/11596,https://www.themoviedb.org/movie/744857,https://www.themovied"&amp;"b.org/movie/117251,https://www.themoviedb.org/movie/402431,https://www.themoviedb.org/movie/967941,https://www.themoviedb.org/movie/106646,https://www.themoviedb.org/movie/9902,https://www.themoviedb.org/movie/13186,https://www.themoviedb.org/movie/23823,"&amp;"https://www.themoviedb.org/movie/71672,https://www.themoviedb.org/movie/125509,https://www.themoviedb.org/movie/760104,https://www.themoviedb.org/movie/10201,https://www.themoviedb.org/movie/1949,https://www.themoviedb.org/movie/19908"</x:formula1>
    </x:dataValidation>
    <x:dataValidation type="list" allowBlank="1" showErrorMessage="1" sqref="H2:H431">
      <x:formula1>"/9I7gV6wRbGnbfI3XOKjHeLMjYEo.jpg,/ve72VxNqjGM69Uky4WTo2bK6rfq.jpg,/iaURDnsqwTpFdg7RuizUp0nI2I4.jpg,/7LwSrvFA0gz1KAlcrGcinoQPene.jpg,/12VgS5G6OG7ANKrSbhtUD2POHb8.jpg,/mVeoqL37gzhMXQVpONi9DGOQ3tZ.jpg,/iZ7jVGQWj3eBUdqwAPUlKk0BaS2.jpg,/hgyJR4sgMsee6xMFM3xYiG6"&amp;"cDCh.jpg,/4JG5WKfIGD6r7hdbqJVr2WKIxEe.jpg,/vbflx4rDj3YrRAAk4HSWsEgZVlK.jpg,/tI1534q0Up7PBcLdXdFerLmIXn3.jpg,/k3TcTGCgvvvhAiW9pkyWNz9CoNN.jpg,/pqiRuETmuSybfnVZ7qyeoXhQyN1.jpg,/eeSJNAR1aWcgANq26KWIHm3cbyB.jpg,/pxbAepXQjsGFDHaR3dPndFSxDU0.jpg,/bSe8CBqK8HkbP6"&amp;"sqZWzcJfQV9Ci.jpg,/vJgtfUmZE5i4L12sOryAPuBa04K.jpg,/1XosEzjwTxL4NrVhn7ldunA3kfr.jpg,/BAdmxMdCqzjs6hx3KuEtnoWP8d.jpg,/yLsuU2P2SpDYFwtZQ7dtfVAf6TE.jpg,/qWsHMrbg9DsBY3bCMk9jyYCRVRs.jpg,/tb86j8jVCVsdZnzf8I6cIi65IeM.jpg,/ufl63EFcc5XpByEV2Ecdw6WJZAI.jpg,/oJZSaj"&amp;"KLJkoTOzSZQN2ZwRnPwHZ.jpg,/8Bnqect4lPvc4o2cONsrFuoSzrX.jpg,/6K0wjP8kPCiPYy9PtXBGuypyt5I.jpg,/dDSMzBEaM0LYSy9Muo0zsCo77Vh.jpg,/rfClLIyeHqpMofmrPY8DaLe4z9x.jpg,/sPX89Td70IDDjVr85jdSBb4rWGr.jpg,/aLGKAQKgzWpJ6egyWzzC11jXBRJ.jpg,/vie8a3z219Zsw81eAsM58B6VFEn.jp"&amp;"g,/3bv6WAp6BSxxYvB5ozKFUYuRA8C.jpg,/p9ZUzCyy9wRTDuuQexkQ78R2BgF.jpg,/gFddBLQ8wj9M9O82iPzgX5KVNHz.jpg,/b6Spp82Tg8rv4YUSHGWFqFbgp0q.jpg,/gajva2L0rPYkEWjzgFlBXCAVBE5.jpg,/v7x4P33lZwstVgxlZGze18hBlD.jpg,/wnE24UPCPQsQnbBOu4zVE2qaDNm.jpg,/kfkyALfD4G1mlBJI1lOt2Q"&amp;"Cra4i.jpg,/aP8swke3gmowbkfZ6lmNidu0y9p.jpg,/yaIPNOcC7ZRuwH3maNwP9qzIo5G.jpg,/wcUc7TYtsb72dHVb51sYaGIvQsr.jpg,/oxgsAQDAAxA92mFGYCZllgWkH9J.jpg,/vaUkSL7PbeeKfdFKOh9TYR9M1ds.jpg,/zZZe5wn0udlhMtdlDjN4NB72R6e.jpg,/jMWjJ13sFTT07DwjNlqh8VY4sK6.jpg,/otxZzMh53TsN7"&amp;"yYFqSZ3rwH1yMd.jpg,/nbug05AceVU8PMXIONDFxMRtq54.jpg,/wvpgvcWNkF2HLuTEMIM7K83MvZ.jpg,/2tPQbPQeHEYAGoXFSW61IWNmoce.jpg,/6toMk9OCuDYEEf733Bzlq3yiw3z.jpg,/4sHeTAp65WrSSuc05nRBKddhBxO.jpg,/yaPx3cK9zGFX3SbcKwxWM1QIbUh.jpg,/r8S7cc676EfgfUDVQKPrqRlbRFz.jpg,/ezUtb"&amp;"9m5DeLwL2gxi4gktzNCvQv.jpg,/qbhJiXi48fRQevHf56i2JmYqyJ7.jpg,/e33HSokiAxhj8ptpAr2xAU4jnd8.jpg,/oCoTgC3UyWGfyQ9thE10ulWR7bn.jpg,/aA2WdIhq7e3grXFg6FZemRvbAIM.jpg,/wVYREutTvI2tmxr6ujrHT704wGF.jpg,/zEqyD0SBt6HL7W9JQoWwtd5Do1T.jpg,/byWgphT74ClOVa8EOGzYDkl8DVL.j"&amp;"pg,/xbSuFiJbbBWCkyCCKIMfuDCA4yV.jpg,/qA31i7FPVDHezuoevx3497CvZd4.jpg,/4jeFXQYytChdZYE9JYO7Un87IlW.jpg,/ggtG9DZELyTtM2Y0DRJDOJa5iP8.jpg,/qn53D574tT0YRyLgirEFHQwGUXw.jpg,/4SoyTCEpsgLjX6yAyMsx3AsAyRQ.jpg,/bbanIymLuTYmQGis9nlCkFlT1eg.jpg,/r5JUiMYfatwYeDkxkLWY"&amp;"Ux5GIjY.jpg,/yTRrqIGusJuzG5Pe3iFQTnHg1Ps.jpg,/x9DzkDWp8O82Wzxk6otuD9bce9a.jpg,/qJ2tW6WMUDux911r6m7haRef0WH.jpg,/hr0L2aueqlP2BYUblTTjmtn0hw4.jpg,/ttquyxStEEctzghtA2f4PUGprDr.jpg,/mSmAc9G25fhOHH45SLEeagR0qi7.jpg,/Wr4HeYQRvwVCxzOV5TmGE7UkXq.jpg,/rvcUVdATIHKZ"&amp;"t7BSSttUkKbeBXN.jpg,/mxFPI4KYBk5ri9cPteIS8jiDFgj.jpg,/drZz4AuI7trq6BxlH9Xa4v4O0Pb.jpg,/n0W7kajF4GFMRk2c0wWwMQqTaDM.jpg,/3f9KwSrieczuH9nRrwfOsoMoMNd.jpg,/p69QzIBbN06aTYqRRiCOY1emNBh.jpg,/oxhHl2YokTqcP44QK5tiTgjgLgk.jpg,/lLhvwLNU4pLgvaNREVFaQ4n3lCf.jpg,/shq"&amp;"O696kFnM8Z4ODa3JglcjP97u.jpg,/an0nD6uq6byfxXCfk6lQBzdL2J1.jpg,/9TspO5dThMBioF0DFrvy6YqrngH.jpg,/1gDV0Lm9y8ufIKzyf0h0GBgb9Zj.jpg,/4zqCKJVHUolGs6C5AZwAZqLWixW.jpg,/5ik4ATKmNtmJU6AYD0bLm56BCVM.jpg,/dmJW8IAKHKxFNiUnoDR7JfsK7Rp.jpg,/5x0CeVHJI8tcDx8tUUwYHQSNILq"&amp;".jpg,/rhSftgj3vwpIDSP8v67N8KEubmz.jpg,/j09ZkH6R4JWVylBcDai1laCmGw7.jpg,/74rTIGyGoIu5KSxDVMdr8H3MtMo.jpg,/knEIz1eNGl5MQDbrEAVWA7iRqF9.jpg,/litjsBoiydO6JlO70uOX4N3WnNL.jpg,/f9ZASRUfl8Jlco7rgRx3ujPR0P7.jpg,/e4qh58n2WaG4Gyh9VhjOUeN9Mhv.jpg,/uGGpnWHOmWTARVN9wb"&amp;"C1nPxNgps.jpg,/88wlJ4teYlck4hJ2bnlxBrAVh0m.jpg,/9kukTSlgFgXnQGdpcHvHcpTDiUc.jpg,/92rGctBMTv4uaSlIBVnhz01kRWL.jpg,/ewnIs4aCuWnKQ13Eaj8f3ybrQc8.jpg,/6vdUpHvkspQonXBdWcLWW5ciEPJ.jpg,/rUzk9Qnyz2FZGxHMBrq6DYIQZkO.jpg,/6ezOsZ9UzqGnbDokaatxdOWP6e9.jpg,/1J7zudfR3"&amp;"VLPwAf9lK5YPfSu0n6.jpg,/nKhhDFCdzxeJ3GUunQ570LDpUkz.jpg,/6GISAjE0XiSucmzXIhb1tdnV2yC.jpg,/vUJxLlRGM6KfXQDeAHqyMyhrI59.jpg,/gEYKD5cWCBGg8Za3hhwDBk3gEsP.jpg,/pfte7wdMobMF4CVHuOxyu6oqeeA.jpg,/rJPbS2cYOYhDCjT5NmW1Fm6gFl3.jpg,/kIlzZJqV4SCGHrrjoGLBhmsO7z2.jpg,/"&amp;"jEyiGve8BLOCvi8R2tL8H52aLp4.jpg,/pgqgaUx1cJb5oZQQ5v0tNARCeBp.jpg,/mzOHg7Q5q9yUmY0b9Esu8Qe6Nnm.jpg,/fNqlsmu2tiI1bXcpU31yjHPkiJz.jpg,/A2CcakhYdSTyZSHV8IcxjSeQEuP.jpg,/8vnsB3Rg9Gb91UOaecXRb7dYB37.jpg,/tyxfCBQv6Ap74jcu3xd7aBiaa29.jpg,/6m0F7fsXjQvUbCZrPWcJNrjv"&amp;"Iui.jpg,/35F5yD7MljvBE2AC0NHAVCoPGEi.jpg,/vN7JHlHOT9rHNDU27tfYqhABBj5.jpg,/7vPAVPKYexQVmvC578wPLn2CGCL.jpg,/oHLeYXqA8P0jVIY2C8kQFyQTzkr.jpg,/uEOWWRr8BbgPM0BiJiSTwHGaRx4.jpg,/r7vmZjiyZw9rpJMQJdXpjgiCOk9.jpg,/fnOMP6mjmOmZwmlC1n0K7ivrzt1.jpg,/f7JAX5EGk4GgsEn"&amp;"us6OxyzwpFp7.jpg,/wijlZ3HaYMvlDTPqJoTCWKFkCPU.jpg,/cD8JrfSEI4j7WVnKM1GdiYzMoUh.jpg,/q06saepaXeBdkMibuN4R2fXmgIw.jpg,/vSHPM4LQDpWdQrD5KZWK6wNqSOD.jpg,/3nX5HHGgOKaVMxXwMLT9DHO1Ne6.jpg,/WABfdeaThFYXCySGIOvRNv2sSW.jpg,/ir9eyz1mtgsohjvo7UYtqUfFuES.jpg,/7DyuV2G"&amp;"0hLEqHeueDfOqhZ2DVut.jpg,/A0uS9rHR56FeBtpjVki16M5xxSW.jpg,/cKZu0Fdkj7dmwbfMpgDqVVCkLJQ.jpg,/vtxuPWkdllLNLVyGjKYa267ntuH.jpg,/rYfUcEV88Z3gENrfYTE6i8yBkDr.jpg,/4RnCeRzvI1xk5tuNWjpDKzSnJDk.jpg,/gmXKlm8c8O7JEISYP4WiWq2x3We.jpg,/5vO7R4xYlDipTp8gzfRbWegO8eb.jpg"&amp;",/qgLlnlrUtTKXkdrgMBwUfkyAkya.jpg,/sFPkQLUq8wmNOL2XMow4WF5tOpu.jpg,/gchygJq6AnzGFg0uYRDKn7mqsyU.jpg,/bsd1ovBNOhYpQElhlZAqpMo51q6.jpg,/xUSCQEbbAy3Lv6r00RfXtdxhRDX.jpg,/diVMzTarVLgjc3jyODyhZMadfwD.jpg,/hjlZSXM86wJrfCv5VKfR5DI2VeU.jpg,/fr96XzlzsONrQrGfdLMiwt"&amp;"Qjott.jpg,/vKeFa7CqSxmWsQDjHP6SJXKoDbj.jpg,/2eJL1Ccr1FN3dm9OSDwyd8uaX1b.jpg,/3SX2UGSmAjIZsVACpshPpKtjbDr.jpg,/odPuG8mbDF12uMAQ5K4LuebtyUo.jpg,/yHA9Fc37VmpUA5UncTxxo3rTGVA.jpg,/xT98tLqatZPQApyRmlPL12LtiWp.jpg,/xQYiXsheRCDBA39DOrmaw1aSpbk.jpg,/uQkUwgyFHAm0j"&amp;"GQERPG6Z9o9Zbj.jpg,/cdY2pYMAoHIlfi4tSNyAvPaUeB2.jpg,/qB20aiY8Ah3pQikkBxm3j7jQVc8.jpg,/wjzbVXAes1acbh6k4OO5xVfy5.jpg,/29c2qgXmSREosLBevOILEuMWzQC.jpg,/aCLSgw1DaqkRvosYc3YUttBTtpT.jpg,/bMUGNkPaHOurcBK9g3XpJx3fxuO.jpg,/yGTHvZE1ggog8w06kqg1HyTANjT.jpg,/9ePD42"&amp;"CjuXgwsFNDl3EC8KRi0XC.jpg,/ygGmAO60t8GyqUo9xYeYxSZAR3b.jpg,/d13Uj86LdbDLrfDoHR5aDOFYyJC.jpg,/xvx4Yhf0DVH8G4LzNISpMfFBDy2.jpg,/9YEUMnMhIjD5ek4zIqOhLSnTnJS.jpg,/xUk5AGcGvybPBvvMqrDPbAFAknD.jpg,/gMtjxIkEi0hnTV5lPHbgeZ4ZpUZ.jpg,/4FAA18ZIja70d1Tu5hr5cj2q1sB.jp"&amp;"g,/lImKHDfExAulp16grYm8zD5eONE.jpg,/zHzBTd502IZf60x8n2g0TB01vPF.jpg,/cQKyNm0Nz6KWiDBQF9w4aZAmOfC.jpg,/7gPOYKxoBzhfC8cLNMU3CKgURcm.jpg,/w5JjiB3O1CLDXbTJe1QpU5RHmlU.jpg,/iDdGfdNvY1EX0uDdA4Ru77fwMfc.jpg,/yQvGrMoipbRoddT0ZR8tPoR7NfX.jpg,/9E2y5Q7WlCVNEhP5GiVTj"&amp;"hEhx1o.jpg,/iwnQ1JH1wdWrGYkgWySptJ5284A.jpg,/zfE0R94v1E8cuKAerbskfD3VfUt.jpg,/6vdj47RAWOUZBkeQmqToeZ7eaio.jpg,/Aacq05foqiWdXqetFv02HBvMoJy.jpg,/ggOND0hfoE0f3K857joSzEeIchb.jpg,/lxM6kqilAdpdhqUl2biYp5frUxE.jpg,/aEsAdMAhwKYFgnHHxMOknktQYKK.jpg,/g410Y1U1ELbm"&amp;"JG14Zru3UAimm1G.jpg,/u2ghDfjcs3y5c8ata3COc4pWiAN.jpg,/7RwHxhdUNS996JPFNB9a7CJtlwR.jpg,/wXqWR7dHncNRbxoEGybEy7QTe9h.jpg,/hXWBc0ioZP3cN4zCu6SN3YHXZVO.jpg,/ziEuG1essDuWuC5lpWUaw1uXY2O.jpg,/vZloFAK7NmvMGKE7VkF5UHaz0I.jpg,/6q1hlBC6rudc3mHwXsbMBR2xAT6.jpg,/maFj"&amp;"KnJ62hDQ9E66dKqDZgbUy0H.jpg,/oQXj4NUfS3r3gHXtDOzcJgj1lLc.jpg,/rhr4y79GpxQF9IsfJItRXVaoGs4.jpg,/jbAvCACjLf1ZG0unB2tdmx5HAf1.jpg,/x2Us3jR6ToMJjbcPbLimYoxf6xr.jpg,/1RICxzeoNCAO5NpcRMIgg1XT6fm.jpg,/iHMbrTHJwocsNvo5murCBw0CwTo.jpg,/1go2A3gdQjaMuHWquybgoJlQRcX."&amp;"jpg,/6a2HY6UmD7XiDD3NokgaBAXEsD2.jpg,/OG0mxQt4YaNIWiz8EKJSHe9lPh.jpg,/r2517Vz9EhDhj88qwbDVj8DCRZN.jpg,/mzPCU6xQ2XQmD76cDVZPm5PZAaS.jpg,/hbSdA1DmNA9IlfVoqJkIWYF2oYm.jpg,/g0zCELYfBfSv8TOGC13buABVN53.jpg,/xxp0qcZ3n2YA53SIzWilDSfIaA4.jpg,/2Y35XCUS8U8vC8vs0HDE"&amp;"VkPu1BM.jpg,/8BnElzAQQpp7ZgdJJiAe1diomr4.jpg,/6oom5QYQ2yQTMJIbnvbkBL9cHo6.jpg,/rCzpDGLbOoPwLjy3OAm5NUPOTrC.jpg,/5VTN0pR8gcqV3EPUHHfMGnJYN9L.jpg,/6fSkhv35nPSw9hwPVCMINQFG1WD.jpg,/d9nBoowhjiiYc4FBNtQkPY7c11H.jpg,/vloNTScJ3w7jwNwtNGoG8DbTThv.jpg,/dGv2BWjzwAz"&amp;"6LB8a8JeRIZL8hSz.jpg,/sT5ITTlTcnPOeFzHEu5j0hTZUvD.jpg,/aOIuZAjPaRIE6CMzbazvcHuHXDc.jpg,/aA5qHS0FbSXO8PxcxUIHbDrJyuh.jpg,/8c4a8kE7PizaGQQnditMmI1xbRp.jpg,/bkkS61w94ZVMNVd8KEyyJl2tnY5.jpg,/ArvoFK6nlouZRxYmtIOUzKIrg90.jpg,/DWQOjAPvM8Kk1Qp3Xq0zae0Z6w.jpg,/jcg"&amp;"Ujx1QcupGzjntTVlnQ15lHqy.jpg,/x5YbfyUA8huK0shr008xwzNVJ5Y.jpg,/t04hiJUR5EiUjobsYdvQNgJkxbI.jpg,/n9SicwnoNGWBwE75le27sUhCLMm.jpg,/l5uxY5m5OInWpcExIpKG6AR3rgL.jpg,/hfnrual76gPeNFduhD4xzHWpfTw.jpg,/1CvJ6diBACKPVGOpcWuY4XPQdqX.jpg,/6CuzBs2Lb8At7qQr64mLXg2RYRb"&amp;".jpg,/fjny9chXPx69ln1LMJxbwi5yHMt.jpg,/uYa06GxHsCsELx9vOQ11vsT0Aa6.jpg,/x7A59t6ySylr1L7aubOQEA480vM.jpg,/pxL6E4GBOPUG6CdkO9cUQN5VMwI.jpg,/fEKZwT91gxvkAoyPgpNXo8W5fu0.jpg,/sN1RU08CMi8xkRIibremh3AOdgw.jpg,/j9HrX8f7GbZQm1BrBiR40uFQZSb.jpg,/nsmW28GcNabCUZfP5Y"&amp;"tUEe8Li0f.jpg,/wGTpGGRMZmyFCcrY2YoxVTIBlli.jpg,/53kxYw0G3o55yJ23K7s7KMaOyAM.jpg,/qbtZewU6EGvxi8yFVzwZ31NijLX.jpg,/boStYG7jKdoIZTduiOOsUVknD13.jpg,/kizvpgXQfrAgN8FhOd87LbKk6kO.jpg,/6d5XOczc226jECq0LIX0siKtgHR.jpg,/9C09L1U9S13J4Ut029Qhu0oLcTQ.jpg,/AcKVlWaNV"&amp;"VVFQwro3nLXqPljcYA.jpg,/tWsNYbrqy1p1w6K9zRk0mSchztT.jpg,/sFC1ElvoKGdHJIWRpNB3xWJ9lJA.jpg,/zHuouWUKlRK0SeIjzTlmtoPLrFA.jpg,/As3eTQXFBZZe2Gzf9ZzjFVULIIL.jpg,/3Z9c1tbUhP0QruRjczPHnbx3U2D.jpg,/nYtuwNHpEoIbTgS3aFPSEwZNN6l.jpg,/pWDtjs568ZfOTMbURQBYuT4Qxka.jpg,/"&amp;"p8g1vlTvpM6nr2hMMiZ1fUlKF0D.jpg,/gwynHc2RrOFaplYMMpQRpr3TIA4.jpg,/2HahJCcUEduvMUTQhsqRwutpFw1.jpg,/tmclkEpjeo4Zu564gf3KrwIOuKw.jpg,/gfdrkBZAyUUXJJ2iLQe03SAYRD3.jpg,/9nYranPiWdNmbD5PRPPSL7VUFTS.jpg,/na5tAslm1kGNcft083AIXMTOsYR.jpg,/1YpFQ2MQKzlDoa8diLWkapdR"&amp;"I8t.jpg,/2o4vBAnORr9UnLMvWHhULGDHfzH.jpg,/7IiTTgloJzvGI1TAYymCfbfl3vT.jpg,/dKhexH8nS08lVlSmwSs00cHFxbY.jpg,/z5uIG81pXyHKg7cUFIu84Wjn4NS.jpg,/a1gIACZb04bL8EvLqMpofW2Eqeo.jpg,/6E50WjeOYjDZg9HXgPjYdGtY2jG.jpg,/gsFoJk9g8W3zgaipRrrURk7LbiF.jpg,/oFBQUufCV4c8WZo"&amp;"NhtGM17p884H.jpg,/3705GxG0RN9XDV5y9IiXKYHw1fK.jpg,/hrBWiMWnD7mheMx846ycUWA3ohs.jpg,/6YPzBcMH0aPNTvdXNCDLY0zdE1g.jpg,/6u65C8aG4krAVyHsTjAMF7ucTDH.jpg,/m5AKo8iZAYulI87Uzxkn87vRY07.jpg,/8ppkhu3pO3fnXr05YeE7ryKloVd.jpg,/xEoq2WmDzpzxhkHEsmOYOg6BPg6.jpg,/6stnAm"&amp;"1wSek8ZrislwK4xGTyCnt.jpg,/c3zEimDraIyMSasPMGDaNOrhnzn.jpg,/46X1ei9uf13nkkr0OhWldGyr5Uh.jpg,/qwqHHZLZSUvMkAMQ47ymtfjEifY.jpg,/gg7tlp45xqGWMra0sqQVPvybje2.jpg,/uW1UUFIKoMHHR64K1aftnmc5eu9.jpg,/oJD9KQFoObZmxAS1je56SIFVNJt.jpg,/pU1ULUq8D3iRxl1fdX2lZIzdHuI.jp"&amp;"g,/ipBiyifbFqY0ZduO3R9OPBjc2pH.jpg,/AeRpUynJKDpJveklBJipOYrVxCS.jpg,/1YINof6kN5yRdePEbcU5360ejoq.jpg,/bHbz7z2pecTawhkqLpuC2m0qywe.jpg,/yp4CDOVpVmNwiPoZKQeFCpW8CFo.jpg,/oqA45qMyyo1TtrnVEBKxqmTPhbN.jpg,/esmAU0fCO28FbS6bUBKLAzJrohZ.jpg,/mi5lh2brPMzuWYddyUKuC"&amp;"tcnjt1.jpg,/rLNSOudrayDBo1uqXjrhxcjODIC.jpg,/gTnaTysN8HsvVQqTRUh8m35mmUA.jpg,/4iO9n24Rb10peXV0JH2EldIOrAp.jpg,/ku1QdCXOU4ckz3zxLLlis8MIJVm.jpg,/rKl79KqLXg60KFyKsLe4wSSjQ08.jpg,/9JtluosCbioSXJSABZByaODyPpa.jpg,/qHCZ6LjtmqWDfXXN28TlIC9OppK.jpg,/fVQFPRuw3yWX"&amp;"ojYDJvA5EoFjUOY.jpg,/7Eb1JWK0Cb0rbfsYjwfc9g0PbQH.jpg,/lpNG1nx67rvYze1b1R9q0YoSzrC.jpg,/lr9ZIrmuwVmZhpZuTCW8D9g0ZJe.jpg,/dORlVasiaDkJXTqt9bdH7nFNs6C.jpg,/qpH8ToZVlFD1bakL04LkEKodyDI.jpg,/g0YcSd5QpgGXOjg9tl0if0soOkE.jpg,/vd9K93gQ9whMKjXzADZanxWpIXM.jpg,/7KJ"&amp;"rvJf96UpkXsWVOjzCo1IbnW6.jpg,/A3Au37c3KJX29BDvldzGiYtaU5B.jpg,/6PJjhNNAZ6LdGjQ8LXDFZuYnYkP.jpg,/dgXPhzNJH8HFTBjXPB177yNx6RI.jpg,/uAR0AWqhQL1hQa69UDEbb2rE5Wx.jpg,/pU4lcKfjf0U8pM036FHyoVGLev7.jpg,/nrmXQ0zcZUL8jFLrakWc90IR8z9.jpg,/uS9m8OBk1A8eM9I042bx8XXpqAq"&amp;".jpg,/s3b8TZWwmkYc2KoJ5zk77qB6PzY.jpg,/nzx10sca3arCeYBAomHan4Q6wa1.jpg,/hF6ORyihtAWHqKkIQI8BSpLQyON.jpg,/oucvKATkCI77ngtPjxAI9SAZW42.jpg,/aPqcQwu4VGEewPhagWNncDbJ9Xp.jpg,/aQvJ5WPzZgYVDrxLX4R6cLJCEaQ.jpg,/b5pIUsGll0418NyfNA5eYCI9aoK.jpg,/tS0PedvA2mFO9VCHYw"&amp;"QpaU1K36U.jpg,/kNbaxEsnCyWBTfANVPHayujBsxp.jpg,/kjdJntyBeEvqm9w97QGBdxPptzj.jpg,/aGuvNAaaZuWXYQQ6N2v7DeuP6mB.jpg,/qFmwhVUoUSXjkKRmca5yGDEXBIj.jpg,/qDlmKahejt0NoQzw65tnLayEhHZ.jpg,/6wkfovpn7Eq8dYNKaG5PY3q2oq6.jpg,/oZNPzxqM2s5DyVWab09NTQScDQt.jpg,/xfSAoBEm9"&amp;"MNBjmlNcDYLvLSMlnq.jpg,/6FfCtAuVAW8XJjZ7eWeLibRLWTw.jpg,/nNAeTmF4CtdSgMDplXTDPOpYzsX.jpg,/jQYlydvHm3kUix1f8prMucrplhm.jpg,/gwsg4qFmLOvlhwXj4OZuxfFUdP0.jpg,/lqoMzCcZYEFK729d6qzt349fB4o.jpg,/zastd8zM2ftOJpC7Y6gRFqAB7r.jpg,/pUWIjaMMYJjeBm5bJyE3mIXdQ62.jpg,/e"&amp;"JGWx219ZcEMVQJhAgMiqo8tYY.jpg,/ek8e8txUyUwd2BNqj6lFEerJfbq.jpg,/ldyfo0BKmz5rWtJJKCvwaNS4cJT.jpg,/yzAlcuJhpnxRPjaj7AHBRbNPQCJ.jpg,/77i7EBUyQKOUiZeYQ5tWDGQb0AI.jpg,/9t7gUKSxXjvQpgHdC7VUhJ1BTBK.jpg,/ym7Kst6a4uodryxqbGOxmewF235.jpg,/m1Q2VFe1DVVbjfu1LDZe7tlp9y"&amp;"b.jpg,/38C91I7Xft0gyY7BITm8i4yvuRb.jpg,/7NmDIj5I1OFOZfYFnS3uWtM7WMO.jpg,/vvevzdYIrk2636maNW4qeWmlPFG.jpg,/eMP4F0POBgrB4icn6XgYeLLIrld.jpg,/fjXqhGmaeQpB73WerhrYU6HlyV5.jpg,/qEAlwXbYk6IHA4ztoS2XFFaa7Xo.jpg,/ju10W5gl3PPK3b7TjEmVOZap51I.jpg,/iFmaJ7mAwFJpx5gv6"&amp;"vUMvRKCeFm.jpg,/mpgkRPH1GNkMCgdPk2OMyHzAks7.jpg,/781px1eOtfVt1RdIsL4Dt1s3x7R.jpg,/oaLhdRsZ5Mq8VfZtA4Wlvjzzn0X.jpg,/wp6OxE4poJ4G7c0U2ZIXasTSMR7.jpg,/kziYpr5Nfw60P0My8aj1sgCEqed.jpg,/w0nmol4g7n6MFfhfphV7GzHHYjB.jpg,/zAurB9mNxfYRoVrVjAJJwGV3sPg.jpg,/8shwLEDz"&amp;"ajJGSfLgbpac8x8xn1U.jpg,/42H2aaD5UubsHyWt6zfrFMRP8y1.jpg,/tQ4IWxSYIgZVWnQwLCG8r6sUraU.jpg,/Avlo5JZOBXWx4oymtkXfCaomV5Y.jpg,/ux2dU1jQ2ACIMShzB3yP93Udpzc.jpg,/o4hcWsHaHaNQ9BBReOxLvYJNRhA.jpg,/aM3wnZTKEuPLDwxuMWcHDibOkiw.jpg,/9fSogEkqDfJQTuGHsTFloQz3Tw8.jpg,"&amp;"/1bOMmFtnykBmvhFcx8zdXO6bCAa.jpg,/wXaf6VGNHIGU7qivapGOF7o4o4N.jpg,/9nlJVsbebi1onTwGyJ3UHDNttID.jpg,/cncxLilRHKayn8VKhzjAMHkbN4f.jpg,/qqqkiZSU9EBGZ1KiDmfn07S7qvv.jpg,/RbymxgEM5SpDfO2Io2JMFG10Vi.jpg,/3vYhLLxrTtZLysXtIWktmd57Snv.jpg,/gwfgYA9wGpV4QLB0Lrcexwfw"&amp;"C19.jpg,/AtdYbs1SqYwFOLyi2v6ldVTawbn.jpg,/qF2LJ0jwWrtXSuT4AFD5OS2IqaT.jpg,/cpf7vsRZ0MYRQcnLWteD5jK9ymT.jpg,/q5BWxfL1x34nyYSvA3Qo5odleGW.jpg,/iQ7G9LhP7NRRIUM4Vlai3eOxBAc.jpg,/6TeIVKPw7nXXWy2zKmDmlnSwzb7.jpg,/xDGbZ0JJ3mYaGKy4Nzd9Kph6M9L.jpg,/si9tolnefLSUKaq"&amp;"QEGz1bWArOaL.jpg,/kW9LmvYHAaS9iA0tHmZVq8hQYoq.jpg,/12G5V0dTmljnv7RFMT144dJ2chh.jpg,/ow3IMhTVLryZuCEoQznVTTmFYuu.jpg,/84s4LMWuGbm4xPWW5PSbHyQhh33.jpg,/l1vD4GY7tlT420KJ3xWTzyQ2Aa9.jpg,/8fABep8FSRpeo8Ea4j3rfnoVgkg.jpg,/lopZSVtXzhFY603E9OqF7O1YKsh.jpg,/8Vk2nQ"&amp;"F1kY34x53YnWd5zDaTht.jpg,/6YmeO4pB7XTh8P8F960O1uA14JO.jpg,/dUkAmAyPVqubSBNRjRqCgHggZcK.jpg"</x:formula1>
    </x:dataValidation>
    <x:dataValidation type="list" allowBlank="1" showErrorMessage="1" sqref="R2:R431">
      <x:formula1>"Matched,No TMDB match / check title-year"</x:formula1>
    </x:dataValidation>
    <x:dataValidation type="list" allowBlank="1" sqref="O2:O414">
      <x:formula1>"Watched,Unwatched,In Progress"</x:formula1>
    </x:dataValidation>
    <x:dataValidation type="list" allowBlank="1" showErrorMessage="1" sqref="I2:I431">
      <x:formula1>"https://image.tmdb.org/t/p/https://api.themoviedb.org/3/9I7gV6wRbGnbfI3XOKjHeLMjYEo.jpg,https://image.tmdb.org/t/p/https://api.themoviedb.org/3/ve72VxNqjGM69Uky4WTo2bK6rfq.jpg,https://image.tmdb.org/t/p/https://api.themoviedb.org/3/iaURDnsqwTpFdg7RuizUp0n"&amp;"I2I4.jpg,https://image.tmdb.org/t/p/https://api.themoviedb.org/3/7LwSrvFA0gz1KAlcrGcinoQPene.jpg,https://image.tmdb.org/t/p/https://api.themoviedb.org/3/12VgS5G6OG7ANKrSbhtUD2POHb8.jpg,https://image.tmdb.org/t/p/https://api.themoviedb.org/3/mVeoqL37gzhMXQ"&amp;"VpONi9DGOQ3tZ.jpg,https://image.tmdb.org/t/p/https://api.themoviedb.org/3/iZ7jVGQWj3eBUdqwAPUlKk0BaS2.jpg,https://image.tmdb.org/t/p/https://api.themoviedb.org/3/hgyJR4sgMsee6xMFM3xYiG6cDCh.jpg,https://image.tmdb.org/t/p/https://api.themoviedb.org/3/4JG5W"&amp;"KfIGD6r7hdbqJVr2WKIxEe.jpg,https://image.tmdb.org/t/p/https://api.themoviedb.org/3/vbflx4rDj3YrRAAk4HSWsEgZVlK.jpg,https://image.tmdb.org/t/p/https://api.themoviedb.org/3/tI1534q0Up7PBcLdXdFerLmIXn3.jpg,https://image.tmdb.org/t/p/https://api.themoviedb.or"&amp;"g/3/k3TcTGCgvvvhAiW9pkyWNz9CoNN.jpg,https://image.tmdb.org/t/p/https://api.themoviedb.org/3/pqiRuETmuSybfnVZ7qyeoXhQyN1.jpg,https://image.tmdb.org/t/p/https://api.themoviedb.org/3/eeSJNAR1aWcgANq26KWIHm3cbyB.jpg,https://image.tmdb.org/t/p/https://api.them"&amp;"oviedb.org/3/pxbAepXQjsGFDHaR3dPndFSxDU0.jpg,https://image.tmdb.org/t/p/https://api.themoviedb.org/3/bSe8CBqK8HkbP6sqZWzcJfQV9Ci.jpg,https://image.tmdb.org/t/p/https://api.themoviedb.org/3/vJgtfUmZE5i4L12sOryAPuBa04K.jpg,https://image.tmdb.org/t/p/https:/"&amp;"/api.themoviedb.org/3/1XosEzjwTxL4NrVhn7ldunA3kfr.jpg,https://image.tmdb.org/t/p/https://api.themoviedb.org/3/BAdmxMdCqzjs6hx3KuEtnoWP8d.jpg,https://image.tmdb.org/t/p/https://api.themoviedb.org/3/yLsuU2P2SpDYFwtZQ7dtfVAf6TE.jpg,https://image.tmdb.org/t/p"&amp;"/https://api.themoviedb.org/3/qWsHMrbg9DsBY3bCMk9jyYCRVRs.jpg,https://image.tmdb.org/t/p/https://api.themoviedb.org/3/tb86j8jVCVsdZnzf8I6cIi65IeM.jpg,https://image.tmdb.org/t/p/https://api.themoviedb.org/3/ufl63EFcc5XpByEV2Ecdw6WJZAI.jpg,https://image.tmd"&amp;"b.org/t/p/https://api.themoviedb.org/3/oJZSajKLJkoTOzSZQN2ZwRnPwHZ.jpg,https://image.tmdb.org/t/p/https://api.themoviedb.org/3/8Bnqect4lPvc4o2cONsrFuoSzrX.jpg,https://image.tmdb.org/t/p/https://api.themoviedb.org/3/6K0wjP8kPCiPYy9PtXBGuypyt5I.jpg,https://"&amp;"image.tmdb.org/t/p/https://api.themoviedb.org/3/dDSMzBEaM0LYSy9Muo0zsCo77Vh.jpg,https://image.tmdb.org/t/p/https://api.themoviedb.org/3/rfClLIyeHqpMofmrPY8DaLe4z9x.jpg,https://image.tmdb.org/t/p/https://api.themoviedb.org/3/sPX89Td70IDDjVr85jdSBb4rWGr.jpg"&amp;",https://image.tmdb.org/t/p/https://api.themoviedb.org/3/aLGKAQKgzWpJ6egyWzzC11jXBRJ.jpg,https://image.tmdb.org/t/p/https://api.themoviedb.org/3/vie8a3z219Zsw81eAsM58B6VFEn.jpg,https://image.tmdb.org/t/p/https://api.themoviedb.org/3/3bv6WAp6BSxxYvB5ozKFUY"&amp;"uRA8C.jpg,https://image.tmdb.org/t/p/https://api.themoviedb.org/3/p9ZUzCyy9wRTDuuQexkQ78R2BgF.jpg,https://image.tmdb.org/t/p/https://api.themoviedb.org/3/gFddBLQ8wj9M9O82iPzgX5KVNHz.jpg,https://image.tmdb.org/t/p/https://api.themoviedb.org/3/b6Spp82Tg8rv4"&amp;"YUSHGWFqFbgp0q.jpg,https://image.tmdb.org/t/p/https://api.themoviedb.org/3/gajva2L0rPYkEWjzgFlBXCAVBE5.jpg,https://image.tmdb.org/t/p/https://api.themoviedb.org/3/v7x4P33lZwstVgxlZGze18hBlD.jpg,https://image.tmdb.org/t/p/https://api.themoviedb.org/3/wnE24"&amp;"UPCPQsQnbBOu4zVE2qaDNm.jpg,https://image.tmdb.org/t/p/https://api.themoviedb.org/3/kfkyALfD4G1mlBJI1lOt2QCra4i.jpg,https://image.tmdb.org/t/p/https://api.themoviedb.org/3/aP8swke3gmowbkfZ6lmNidu0y9p.jpg,https://image.tmdb.org/t/p/https://api.themoviedb.or"&amp;"g/3/yaIPNOcC7ZRuwH3maNwP9qzIo5G.jpg,https://image.tmdb.org/t/p/https://api.themoviedb.org/3/wcUc7TYtsb72dHVb51sYaGIvQsr.jpg,https://image.tmdb.org/t/p/https://api.themoviedb.org/3/oxgsAQDAAxA92mFGYCZllgWkH9J.jpg,https://image.tmdb.org/t/p/https://api.them"&amp;"oviedb.org/3/vaUkSL7PbeeKfdFKOh9TYR9M1ds.jpg,https://image.tmdb.org/t/p/https://api.themoviedb.org/3/zZZe5wn0udlhMtdlDjN4NB72R6e.jpg,https://image.tmdb.org/t/p/https://api.themoviedb.org/3/jMWjJ13sFTT07DwjNlqh8VY4sK6.jpg,https://image.tmdb.org/t/p/https:/"&amp;"/api.themoviedb.org/3/otxZzMh53TsN7yYFqSZ3rwH1yMd.jpg,https://image.tmdb.org/t/p/https://api.themoviedb.org/3/nbug05AceVU8PMXIONDFxMRtq54.jpg,https://image.tmdb.org/t/p/https://api.themoviedb.org/3/wvpgvcWNkF2HLuTEMIM7K83MvZ.jpg,https://image.tmdb.org/t/p"&amp;"/https://api.themoviedb.org/3/2tPQbPQeHEYAGoXFSW61IWNmoce.jpg,https://image.tmdb.org/t/p/https://api.themoviedb.org/3/6toMk9OCuDYEEf733Bzlq3yiw3z.jpg,https://image.tmdb.org/t/p/https://api.themoviedb.org/3/4sHeTAp65WrSSuc05nRBKddhBxO.jpg,https://image.tmd"&amp;"b.org/t/p/https://api.themoviedb.org/3/yaPx3cK9zGFX3SbcKwxWM1QIbUh.jpg,https://image.tmdb.org/t/p/https://api.themoviedb.org/3/r8S7cc676EfgfUDVQKPrqRlbRFz.jpg,https://image.tmdb.org/t/p/https://api.themoviedb.org/3/ezUtb9m5DeLwL2gxi4gktzNCvQv.jpg,https://"&amp;"image.tmdb.org/t/p/https://api.themoviedb.org/3/qbhJiXi48fRQevHf56i2JmYqyJ7.jpg,https://image.tmdb.org/t/p/https://api.themoviedb.org/3/e33HSokiAxhj8ptpAr2xAU4jnd8.jpg,https://image.tmdb.org/t/p/https://api.themoviedb.org/3/oCoTgC3UyWGfyQ9thE10ulWR7bn.jpg"&amp;",https://image.tmdb.org/t/p/https://api.themoviedb.org/3/aA2WdIhq7e3grXFg6FZemRvbAIM.jpg,https://image.tmdb.org/t/p/https://api.themoviedb.org/3/wVYREutTvI2tmxr6ujrHT704wGF.jpg,https://image.tmdb.org/t/p/https://api.themoviedb.org/3/zEqyD0SBt6HL7W9JQoWwtd"&amp;"5Do1T.jpg,https://image.tmdb.org/t/p/https://api.themoviedb.org/3/byWgphT74ClOVa8EOGzYDkl8DVL.jpg,https://image.tmdb.org/t/p/https://api.themoviedb.org/3/xbSuFiJbbBWCkyCCKIMfuDCA4yV.jpg,https://image.tmdb.org/t/p/https://api.themoviedb.org/3/qA31i7FPVDHez"&amp;"uoevx3497CvZd4.jpg,https://image.tmdb.org/t/p/https://api.themoviedb.org/3/4jeFXQYytChdZYE9JYO7Un87IlW.jpg,https://image.tmdb.org/t/p/https://api.themoviedb.org/3/ggtG9DZELyTtM2Y0DRJDOJa5iP8.jpg,https://image.tmdb.org/t/p/https://api.themoviedb.org/3/qn53"&amp;"D574tT0YRyLgirEFHQwGUXw.jpg,https://image.tmdb.org/t/p/https://api.themoviedb.org/3/4SoyTCEpsgLjX6yAyMsx3AsAyRQ.jpg,https://image.tmdb.org/t/p/https://api.themoviedb.org/3/bbanIymLuTYmQGis9nlCkFlT1eg.jpg,https://image.tmdb.org/t/p/https://api.themoviedb.o"&amp;"rg/3/r5JUiMYfatwYeDkxkLWYUx5GIjY.jpg,https://image.tmdb.org/t/p/https://api.themoviedb.org/3/yTRrqIGusJuzG5Pe3iFQTnHg1Ps.jpg,https://image.tmdb.org/t/p/https://api.themoviedb.org/3/x9DzkDWp8O82Wzxk6otuD9bce9a.jpg,https://image.tmdb.org/t/p/https://api.the"&amp;"moviedb.org/3/qJ2tW6WMUDux911r6m7haRef0WH.jpg,https://image.tmdb.org/t/p/https://api.themoviedb.org/3/hr0L2aueqlP2BYUblTTjmtn0hw4.jpg,https://image.tmdb.org/t/p/https://api.themoviedb.org/3/ttquyxStEEctzghtA2f4PUGprDr.jpg,https://image.tmdb.org/t/p/https:"&amp;"//api.themoviedb.org/3/mSmAc9G25fhOHH45SLEeagR0qi7.jpg,https://image.tmdb.org/t/p/https://api.themoviedb.org/3/Wr4HeYQRvwVCxzOV5TmGE7UkXq.jpg,https://image.tmdb.org/t/p/https://api.themoviedb.org/3/rvcUVdATIHKZt7BSSttUkKbeBXN.jpg,https://image.tmdb.org/t/"&amp;"p/https://api.themoviedb.org/3/mxFPI4KYBk5ri9cPteIS8jiDFgj.jpg,https://image.tmdb.org/t/p/https://api.themoviedb.org/3/drZz4AuI7trq6BxlH9Xa4v4O0Pb.jpg,https://image.tmdb.org/t/p/https://api.themoviedb.org/3/n0W7kajF4GFMRk2c0wWwMQqTaDM.jpg,https://image.tm"&amp;"db.org/t/p/https://api.themoviedb.org/3/3f9KwSrieczuH9nRrwfOsoMoMNd.jpg,https://image.tmdb.org/t/p/https://api.themoviedb.org/3/p69QzIBbN06aTYqRRiCOY1emNBh.jpg,https://image.tmdb.org/t/p/https://api.themoviedb.org/3/oxhHl2YokTqcP44QK5tiTgjgLgk.jpg,https:/"&amp;"/image.tmdb.org/t/p/https://api.themoviedb.org/3/lLhvwLNU4pLgvaNREVFaQ4n3lCf.jpg,https://image.tmdb.org/t/p/https://api.themoviedb.org/3/shqO696kFnM8Z4ODa3JglcjP97u.jpg,https://image.tmdb.org/t/p/https://api.themoviedb.org/3/an0nD6uq6byfxXCfk6lQBzdL2J1.jp"&amp;"g,https://image.tmdb.org/t/p/https://api.themoviedb.org/3/9TspO5dThMBioF0DFrvy6YqrngH.jpg,https://image.tmdb.org/t/p/https://api.themoviedb.org/3/1gDV0Lm9y8ufIKzyf0h0GBgb9Zj.jpg,https://image.tmdb.org/t/p/https://api.themoviedb.org/3/4zqCKJVHUolGs6C5AZwAZ"&amp;"qLWixW.jpg,https://image.tmdb.org/t/p/https://api.themoviedb.org/3/5ik4ATKmNtmJU6AYD0bLm56BCVM.jpg,https://image.tmdb.org/t/p/https://api.themoviedb.org/3/dmJW8IAKHKxFNiUnoDR7JfsK7Rp.jpg,https://image.tmdb.org/t/p/https://api.themoviedb.org/3/5x0CeVHJI8tc"&amp;"Dx8tUUwYHQSNILq.jpg,https://image.tmdb.org/t/p/https://api.themoviedb.org/3/rhSftgj3vwpIDSP8v67N8KEubmz.jpg,https://image.tmdb.org/t/p/https://api.themoviedb.org/3/j09ZkH6R4JWVylBcDai1laCmGw7.jpg,https://image.tmdb.org/t/p/https://api.themoviedb.org/3/74r"&amp;"TIGyGoIu5KSxDVMdr8H3MtMo.jpg,https://image.tmdb.org/t/p/https://api.themoviedb.org/3/knEIz1eNGl5MQDbrEAVWA7iRqF9.jpg,https://image.tmdb.org/t/p/https://api.themoviedb.org/3/litjsBoiydO6JlO70uOX4N3WnNL.jpg,https://image.tmdb.org/t/p/https://api.themoviedb."&amp;"org/3/f9ZASRUfl8Jlco7rgRx3ujPR0P7.jpg,https://image.tmdb.org/t/p/https://api.themoviedb.org/3/e4qh58n2WaG4Gyh9VhjOUeN9Mhv.jpg,https://image.tmdb.org/t/p/https://api.themoviedb.org/3/uGGpnWHOmWTARVN9wbC1nPxNgps.jpg,https://image.tmdb.org/t/p/https://api.th"&amp;"emoviedb.org/3/88wlJ4teYlck4hJ2bnlxBrAVh0m.jpg,https://image.tmdb.org/t/p/https://api.themoviedb.org/3/9kukTSlgFgXnQGdpcHvHcpTDiUc.jpg,https://image.tmdb.org/t/p/https://api.themoviedb.org/3/92rGctBMTv4uaSlIBVnhz01kRWL.jpg,https://image.tmdb.org/t/p/https"&amp;"://api.themoviedb.org/3/ewnIs4aCuWnKQ13Eaj8f3ybrQc8.jpg,https://image.tmdb.org/t/p/https://api.themoviedb.org/3/6vdUpHvkspQonXBdWcLWW5ciEPJ.jpg,https://image.tmdb.org/t/p/https://api.themoviedb.org/3/rUzk9Qnyz2FZGxHMBrq6DYIQZkO.jpg,https://image.tmdb.org/"&amp;"t/p/https://api.themoviedb.org/3/6ezOsZ9UzqGnbDokaatxdOWP6e9.jpg,https://image.tmdb.org/t/p/https://api.themoviedb.org/3/1J7zudfR3VLPwAf9lK5YPfSu0n6.jpg,https://image.tmdb.org/t/p/https://api.themoviedb.org/3/nKhhDFCdzxeJ3GUunQ570LDpUkz.jpg,https://image."&amp;"tmdb.org/t/p/https://api.themoviedb.org/3/6GISAjE0XiSucmzXIhb1tdnV2yC.jpg,https://image.tmdb.org/t/p/https://api.themoviedb.org/3/vUJxLlRGM6KfXQDeAHqyMyhrI59.jpg,https://image.tmdb.org/t/p/https://api.themoviedb.org/3/gEYKD5cWCBGg8Za3hhwDBk3gEsP.jpg,https"&amp;"://image.tmdb.org/t/p/https://api.themoviedb.org/3/pfte7wdMobMF4CVHuOxyu6oqeeA.jpg,https://image.tmdb.org/t/p/https://api.themoviedb.org/3/rJPbS2cYOYhDCjT5NmW1Fm6gFl3.jpg,https://image.tmdb.org/t/p/https://api.themoviedb.org/3/kIlzZJqV4SCGHrrjoGLBhmsO7z2."&amp;"jpg,https://image.tmdb.org/t/p/https://api.themoviedb.org/3/jEyiGve8BLOCvi8R2tL8H52aLp4.jpg,https://image.tmdb.org/t/p/https://api.themoviedb.org/3/pgqgaUx1cJb5oZQQ5v0tNARCeBp.jpg,https://image.tmdb.org/t/p/https://api.themoviedb.org/3/mzOHg7Q5q9yUmY0b9Es"&amp;"u8Qe6Nnm.jpg,https://image.tmdb.org/t/p/https://api.themoviedb.org/3/fNqlsmu2tiI1bXcpU31yjHPkiJz.jpg,https://image.tmdb.org/t/p/https://api.themoviedb.org/3/A2CcakhYdSTyZSHV8IcxjSeQEuP.jpg,https://image.tmdb.org/t/p/https://api.themoviedb.org/3/8vnsB3Rg9G"&amp;"b91UOaecXRb7dYB37.jpg,https://image.tmdb.org/t/p/https://api.themoviedb.org/3/tyxfCBQv6Ap74jcu3xd7aBiaa29.jpg,https://image.tmdb.org/t/p/https://api.themoviedb.org/3/6m0F7fsXjQvUbCZrPWcJNrjvIui.jpg,https://image.tmdb.org/t/p/https://api.themoviedb.org/3/3"&amp;"5F5yD7MljvBE2AC0NHAVCoPGEi.jpg,https://image.tmdb.org/t/p/https://api.themoviedb.org/3/vN7JHlHOT9rHNDU27tfYqhABBj5.jpg,https://image.tmdb.org/t/p/https://api.themoviedb.org/3/7vPAVPKYexQVmvC578wPLn2CGCL.jpg,https://image.tmdb.org/t/p/https://api.themovied"&amp;"b.org/3/oHLeYXqA8P0jVIY2C8kQFyQTzkr.jpg,https://image.tmdb.org/t/p/https://api.themoviedb.org/3/uEOWWRr8BbgPM0BiJiSTwHGaRx4.jpg,https://image.tmdb.org/t/p/https://api.themoviedb.org/3/r7vmZjiyZw9rpJMQJdXpjgiCOk9.jpg,https://image.tmdb.org/t/p/https://api."&amp;"themoviedb.org/3/fnOMP6mjmOmZwmlC1n0K7ivrzt1.jpg,https://image.tmdb.org/t/p/https://api.themoviedb.org/3/f7JAX5EGk4GgsEnus6OxyzwpFp7.jpg,https://image.tmdb.org/t/p/https://api.themoviedb.org/3/wijlZ3HaYMvlDTPqJoTCWKFkCPU.jpg,https://image.tmdb.org/t/p/htt"&amp;"ps://api.themoviedb.org/3/cD8JrfSEI4j7WVnKM1GdiYzMoUh.jpg,https://image.tmdb.org/t/p/https://api.themoviedb.org/3/q06saepaXeBdkMibuN4R2fXmgIw.jpg,https://image.tmdb.org/t/p/https://api.themoviedb.org/3/vSHPM4LQDpWdQrD5KZWK6wNqSOD.jpg,https://image.tmdb.or"&amp;"g/t/p/https://api.themoviedb.org/3/3nX5HHGgOKaVMxXwMLT9DHO1Ne6.jpg,https://image.tmdb.org/t/p/https://api.themoviedb.org/3/WABfdeaThFYXCySGIOvRNv2sSW.jpg,https://image.tmdb.org/t/p/https://api.themoviedb.org/3/ir9eyz1mtgsohjvo7UYtqUfFuES.jpg,https://image"&amp;".tmdb.org/t/p/https://api.themoviedb.org/3/7DyuV2G0hLEqHeueDfOqhZ2DVut.jpg,https://image.tmdb.org/t/p/https://api.themoviedb.org/3/A0uS9rHR56FeBtpjVki16M5xxSW.jpg,https://image.tmdb.org/t/p/https://api.themoviedb.org/3/cKZu0Fdkj7dmwbfMpgDqVVCkLJQ.jpg,http"&amp;"s://image.tmdb.org/t/p/https://api.themoviedb.org/3/vtxuPWkdllLNLVyGjKYa267ntuH.jpg,https://image.tmdb.org/t/p/https://api.themoviedb.org/3/rYfUcEV88Z3gENrfYTE6i8yBkDr.jpg,https://image.tmdb.org/t/p/https://api.themoviedb.org/3/4RnCeRzvI1xk5tuNWjpDKzSnJDk"&amp;".jpg,https://image.tmdb.org/t/p/https://api.themoviedb.org/3/gmXKlm8c8O7JEISYP4WiWq2x3We.jpg,https://image.tmdb.org/t/p/https://api.themoviedb.org/3/5vO7R4xYlDipTp8gzfRbWegO8eb.jpg,https://image.tmdb.org/t/p/https://api.themoviedb.org/3/qgLlnlrUtTKXkdrgMB"&amp;"wUfkyAkya.jpg,https://image.tmdb.org/t/p/https://api.themoviedb.org/3/sFPkQLUq8wmNOL2XMow4WF5tOpu.jpg,https://image.tmdb.org/t/p/https://api.themoviedb.org/3/gchygJq6AnzGFg0uYRDKn7mqsyU.jpg,https://image.tmdb.org/t/p/https://api.themoviedb.org/3/bsd1ovBNO"&amp;"hYpQElhlZAqpMo51q6.jpg,https://image.tmdb.org/t/p/https://api.themoviedb.org/3/xUSCQEbbAy3Lv6r00RfXtdxhRDX.jpg,https://image.tmdb.org/t/p/https://api.themoviedb.org/3/diVMzTarVLgjc3jyODyhZMadfwD.jpg,https://image.tmdb.org/t/p/https://api.themoviedb.org/3/"&amp;"hjlZSXM86wJrfCv5VKfR5DI2VeU.jpg,https://image.tmdb.org/t/p/https://api.themoviedb.org/3/fr96XzlzsONrQrGfdLMiwtQjott.jpg,https://image.tmdb.org/t/p/https://api.themoviedb.org/3/vKeFa7CqSxmWsQDjHP6SJXKoDbj.jpg,https://image.tmdb.org/t/p/https://api.themovie"&amp;"db.org/3/2eJL1Ccr1FN3dm9OSDwyd8uaX1b.jpg,https://image.tmdb.org/t/p/https://api.themoviedb.org/3/3SX2UGSmAjIZsVACpshPpKtjbDr.jpg,https://image.tmdb.org/t/p/https://api.themoviedb.org/3/odPuG8mbDF12uMAQ5K4LuebtyUo.jpg,https://image.tmdb.org/t/p/https://api"&amp;".themoviedb.org/3/yHA9Fc37VmpUA5UncTxxo3rTGVA.jpg,https://image.tmdb.org/t/p/https://api.themoviedb.org/3/xT98tLqatZPQApyRmlPL12LtiWp.jpg,https://image.tmdb.org/t/p/https://api.themoviedb.org/3/xQYiXsheRCDBA39DOrmaw1aSpbk.jpg,https://image.tmdb.org/t/p/ht"&amp;"tps://api.themoviedb.org/3/uQkUwgyFHAm0jGQERPG6Z9o9Zbj.jpg,https://image.tmdb.org/t/p/https://api.themoviedb.org/3/cdY2pYMAoHIlfi4tSNyAvPaUeB2.jpg,https://image.tmdb.org/t/p/https://api.themoviedb.org/3/qB20aiY8Ah3pQikkBxm3j7jQVc8.jpg,https://image.tmdb.o"&amp;"rg/t/p/https://api.themoviedb.org/3/wjzbVXAes1acbh6k4OO5xVfy5.jpg,https://image.tmdb.org/t/p/https://api.themoviedb.org/3/29c2qgXmSREosLBevOILEuMWzQC.jpg,https://image.tmdb.org/t/p/https://api.themoviedb.org/3/aCLSgw1DaqkRvosYc3YUttBTtpT.jpg,https://image"&amp;".tmdb.org/t/p/https://api.themoviedb.org/3/bMUGNkPaHOurcBK9g3XpJx3fxuO.jpg,https://image.tmdb.org/t/p/https://api.themoviedb.org/3/yGTHvZE1ggog8w06kqg1HyTANjT.jpg,https://image.tmdb.org/t/p/https://api.themoviedb.org/3/9ePD42CjuXgwsFNDl3EC8KRi0XC.jpg,http"&amp;"s://image.tmdb.org/t/p/https://api.themoviedb.org/3/ygGmAO60t8GyqUo9xYeYxSZAR3b.jpg,https://image.tmdb.org/t/p/https://api.themoviedb.org/3/d13Uj86LdbDLrfDoHR5aDOFYyJC.jpg,https://image.tmdb.org/t/p/https://api.themoviedb.org/3/xvx4Yhf0DVH8G4LzNISpMfFBDy2"&amp;".jpg,https://image.tmdb.org/t/p/https://api.themoviedb.org/3/9YEUMnMhIjD5ek4zIqOhLSnTnJS.jpg,https://image.tmdb.org/t/p/https://api.themoviedb.org/3/xUk5AGcGvybPBvvMqrDPbAFAknD.jpg,https://image.tmdb.org/t/p/https://api.themoviedb.org/3/gMtjxIkEi0hnTV5lPH"&amp;"bgeZ4ZpUZ.jpg,https://image.tmdb.org/t/p/https://api.themoviedb.org/3/4FAA18ZIja70d1Tu5hr5cj2q1sB.jpg,https://image.tmdb.org/t/p/https://api.themoviedb.org/3/lImKHDfExAulp16grYm8zD5eONE.jpg,https://image.tmdb.org/t/p/https://api.themoviedb.org/3/zHzBTd502"&amp;"IZf60x8n2g0TB01vPF.jpg,https://image.tmdb.org/t/p/https://api.themoviedb.org/3/cQKyNm0Nz6KWiDBQF9w4aZAmOfC.jpg,https://image.tmdb.org/t/p/https://api.themoviedb.org/3/7gPOYKxoBzhfC8cLNMU3CKgURcm.jpg,https://image.tmdb.org/t/p/https://api.themoviedb.org/3/"&amp;"w5JjiB3O1CLDXbTJe1QpU5RHmlU.jpg,https://image.tmdb.org/t/p/https://api.themoviedb.org/3/iDdGfdNvY1EX0uDdA4Ru77fwMfc.jpg,https://image.tmdb.org/t/p/https://api.themoviedb.org/3/yQvGrMoipbRoddT0ZR8tPoR7NfX.jpg,https://image.tmdb.org/t/p/https://api.themovie"&amp;"db.org/3/9E2y5Q7WlCVNEhP5GiVTjhEhx1o.jpg,https://image.tmdb.org/t/p/https://api.themoviedb.org/3/iwnQ1JH1wdWrGYkgWySptJ5284A.jpg,https://image.tmdb.org/t/p/https://api.themoviedb.org/3/zfE0R94v1E8cuKAerbskfD3VfUt.jpg,https://image.tmdb.org/t/p/https://api"&amp;".themoviedb.org/3/6vdj47RAWOUZBkeQmqToeZ7eaio.jpg,https://image.tmdb.org/t/p/https://api.themoviedb.org/3/Aacq05foqiWdXqetFv02HBvMoJy.jpg,https://image.tmdb.org/t/p/https://api.themoviedb.org/3/ggOND0hfoE0f3K857joSzEeIchb.jpg,https://image.tmdb.org/t/p/ht"&amp;"tps://api.themoviedb.org/3/lxM6kqilAdpdhqUl2biYp5frUxE.jpg,https://image.tmdb.org/t/p/https://api.themoviedb.org/3/aEsAdMAhwKYFgnHHxMOknktQYKK.jpg,https://image.tmdb.org/t/p/https://api.themoviedb.org/3/g410Y1U1ELbmJG14Zru3UAimm1G.jpg,https://image.tmdb.o"&amp;"rg/t/p/https://api.themoviedb.org/3/u2ghDfjcs3y5c8ata3COc4pWiAN.jpg,https://image.tmdb.org/t/p/https://api.themoviedb.org/3/7RwHxhdUNS996JPFNB9a7CJtlwR.jpg,https://image.tmdb.org/t/p/https://api.themoviedb.org/3/wXqWR7dHncNRbxoEGybEy7QTe9h.jpg,https://ima"&amp;"ge.tmdb.org/t/p/https://api.themoviedb.org/3/hXWBc0ioZP3cN4zCu6SN3YHXZVO.jpg,https://image.tmdb.org/t/p/https://api.themoviedb.org/3/ziEuG1essDuWuC5lpWUaw1uXY2O.jpg,https://image.tmdb.org/t/p/https://api.themoviedb.org/3/vZloFAK7NmvMGKE7VkF5UHaz0I.jpg,htt"&amp;"ps://image.tmdb.org/t/p/https://api.themoviedb.org/3/6q1hlBC6rudc3mHwXsbMBR2xAT6.jpg,https://image.tmdb.org/t/p/https://api.themoviedb.org/3/maFjKnJ62hDQ9E66dKqDZgbUy0H.jpg,https://image.tmdb.org/t/p/https://api.themoviedb.org/3/oQXj4NUfS3r3gHXtDOzcJgj1lL"&amp;"c.jpg,https://image.tmdb.org/t/p/https://api.themoviedb.org/3/rhr4y79GpxQF9IsfJItRXVaoGs4.jpg,https://image.tmdb.org/t/p/https://api.themoviedb.org/3/jbAvCACjLf1ZG0unB2tdmx5HAf1.jpg,https://image.tmdb.org/t/p/https://api.themoviedb.org/3/x2Us3jR6ToMJjbcPb"&amp;"LimYoxf6xr.jpg,https://image.tmdb.org/t/p/https://api.themoviedb.org/3/1RICxzeoNCAO5NpcRMIgg1XT6fm.jpg,https://image.tmdb.org/t/p/https://api.themoviedb.org/3/iHMbrTHJwocsNvo5murCBw0CwTo.jpg,https://image.tmdb.org/t/p/https://api.themoviedb.org/3/1go2A3gd"&amp;"QjaMuHWquybgoJlQRcX.jpg,https://image.tmdb.org/t/p/https://api.themoviedb.org/3/6a2HY6UmD7XiDD3NokgaBAXEsD2.jpg,https://image.tmdb.org/t/p/https://api.themoviedb.org/3/OG0mxQt4YaNIWiz8EKJSHe9lPh.jpg,https://image.tmdb.org/t/p/https://api.themoviedb.org/3/"&amp;"r2517Vz9EhDhj88qwbDVj8DCRZN.jpg,https://image.tmdb.org/t/p/https://api.themoviedb.org/3/mzPCU6xQ2XQmD76cDVZPm5PZAaS.jpg,https://image.tmdb.org/t/p/https://api.themoviedb.org/3/hbSdA1DmNA9IlfVoqJkIWYF2oYm.jpg,https://image.tmdb.org/t/p/https://api.themovie"&amp;"db.org/3/g0zCELYfBfSv8TOGC13buABVN53.jpg,https://image.tmdb.org/t/p/https://api.themoviedb.org/3/xxp0qcZ3n2YA53SIzWilDSfIaA4.jpg,https://image.tmdb.org/t/p/https://api.themoviedb.org/3/2Y35XCUS8U8vC8vs0HDEVkPu1BM.jpg,https://image.tmdb.org/t/p/https://api"&amp;".themoviedb.org/3/8BnElzAQQpp7ZgdJJiAe1diomr4.jpg,https://image.tmdb.org/t/p/https://api.themoviedb.org/3/6oom5QYQ2yQTMJIbnvbkBL9cHo6.jpg,https://image.tmdb.org/t/p/https://api.themoviedb.org/3/rCzpDGLbOoPwLjy3OAm5NUPOTrC.jpg,https://image.tmdb.org/t/p/ht"&amp;"tps://api.themoviedb.org/3/5VTN0pR8gcqV3EPUHHfMGnJYN9L.jpg,https://image.tmdb.org/t/p/https://api.themoviedb.org/3/6fSkhv35nPSw9hwPVCMINQFG1WD.jpg,https://image.tmdb.org/t/p/https://api.themoviedb.org/3/d9nBoowhjiiYc4FBNtQkPY7c11H.jpg,https://image.tmdb.o"&amp;"rg/t/p/https://api.themoviedb.org/3/vloNTScJ3w7jwNwtNGoG8DbTThv.jpg,https://image.tmdb.org/t/p/https://api.themoviedb.org/3/dGv2BWjzwAz6LB8a8JeRIZL8hSz.jpg,https://image.tmdb.org/t/p/https://api.themoviedb.org/3/sT5ITTlTcnPOeFzHEu5j0hTZUvD.jpg,https://ima"&amp;"ge.tmdb.org/t/p/https://api.themoviedb.org/3/aOIuZAjPaRIE6CMzbazvcHuHXDc.jpg,https://image.tmdb.org/t/p/https://api.themoviedb.org/3/aA5qHS0FbSXO8PxcxUIHbDrJyuh.jpg,https://image.tmdb.org/t/p/https://api.themoviedb.org/3/8c4a8kE7PizaGQQnditMmI1xbRp.jpg,ht"&amp;"tps://image.tmdb.org/t/p/https://api.themoviedb.org/3/bkkS61w94ZVMNVd8KEyyJl2tnY5.jpg,https://image.tmdb.org/t/p/https://api.themoviedb.org/3/ArvoFK6nlouZRxYmtIOUzKIrg90.jpg,https://image.tmdb.org/t/p/https://api.themoviedb.org/3/DWQOjAPvM8Kk1Qp3Xq0zae0Z6"&amp;"w.jpg,https://image.tmdb.org/t/p/https://api.themoviedb.org/3/jcgUjx1QcupGzjntTVlnQ15lHqy.jpg,https://image.tmdb.org/t/p/https://api.themoviedb.org/3/x5YbfyUA8huK0shr008xwzNVJ5Y.jpg,https://image.tmdb.org/t/p/https://api.themoviedb.org/3/t04hiJUR5EiUjobsY"&amp;"dvQNgJkxbI.jpg,https://image.tmdb.org/t/p/https://api.themoviedb.org/3/n9SicwnoNGWBwE75le27sUhCLMm.jpg,https://image.tmdb.org/t/p/https://api.themoviedb.org/3/l5uxY5m5OInWpcExIpKG6AR3rgL.jpg,https://image.tmdb.org/t/p/https://api.themoviedb.org/3/hfnrual7"&amp;"6gPeNFduhD4xzHWpfTw.jpg,https://image.tmdb.org/t/p/https://api.themoviedb.org/3/1CvJ6diBACKPVGOpcWuY4XPQdqX.jpg,https://image.tmdb.org/t/p/https://api.themoviedb.org/3/6CuzBs2Lb8At7qQr64mLXg2RYRb.jpg,https://image.tmdb.org/t/p/https://api.themoviedb.org/3"&amp;"/fjny9chXPx69ln1LMJxbwi5yHMt.jpg,https://image.tmdb.org/t/p/https://api.themoviedb.org/3/uYa06GxHsCsELx9vOQ11vsT0Aa6.jpg,https://image.tmdb.org/t/p/https://api.themoviedb.org/3/x7A59t6ySylr1L7aubOQEA480vM.jpg,https://image.tmdb.org/t/p/https://api.themovi"&amp;"edb.org/3/pxL6E4GBOPUG6CdkO9cUQN5VMwI.jpg,https://image.tmdb.org/t/p/https://api.themoviedb.org/3/fEKZwT91gxvkAoyPgpNXo8W5fu0.jpg,https://image.tmdb.org/t/p/https://api.themoviedb.org/3/sN1RU08CMi8xkRIibremh3AOdgw.jpg,https://image.tmdb.org/t/p/https://ap"&amp;"i.themoviedb.org/3/j9HrX8f7GbZQm1BrBiR40uFQZSb.jpg,https://image.tmdb.org/t/p/https://api.themoviedb.org/3/nsmW28GcNabCUZfP5YtUEe8Li0f.jpg,https://image.tmdb.org/t/p/https://api.themoviedb.org/3/wGTpGGRMZmyFCcrY2YoxVTIBlli.jpg,https://image.tmdb.org/t/p/h"&amp;"ttps://api.themoviedb.org/3/53kxYw0G3o55yJ23K7s7KMaOyAM.jpg,https://image.tmdb.org/t/p/https://api.themoviedb.org/3/qbtZewU6EGvxi8yFVzwZ31NijLX.jpg,https://image.tmdb.org/t/p/https://api.themoviedb.org/3/boStYG7jKdoIZTduiOOsUVknD13.jpg,https://image.tmdb."&amp;"org/t/p/https://api.themoviedb.org/3/kizvpgXQfrAgN8FhOd87LbKk6kO.jpg,https://image.tmdb.org/t/p/https://api.themoviedb.org/3/6d5XOczc226jECq0LIX0siKtgHR.jpg,https://image.tmdb.org/t/p/https://api.themoviedb.org/3/9C09L1U9S13J4Ut029Qhu0oLcTQ.jpg,https://im"&amp;"age.tmdb.org/t/p/https://api.themoviedb.org/3/AcKVlWaNVVVFQwro3nLXqPljcYA.jpg,https://image.tmdb.org/t/p/https://api.themoviedb.org/3/tWsNYbrqy1p1w6K9zRk0mSchztT.jpg,https://image.tmdb.org/t/p/https://api.themoviedb.org/3/sFC1ElvoKGdHJIWRpNB3xWJ9lJA.jpg,h"&amp;"ttps://image.tmdb.org/t/p/https://api.themoviedb.org/3/zHuouWUKlRK0SeIjzTlmtoPLrFA.jpg,https://image.tmdb.org/t/p/https://api.themoviedb.org/3/As3eTQXFBZZe2Gzf9ZzjFVULIIL.jpg,https://image.tmdb.org/t/p/https://api.themoviedb.org/3/3Z9c1tbUhP0QruRjczPHnbx3"&amp;"U2D.jpg,https://image.tmdb.org/t/p/https://api.themoviedb.org/3/nYtuwNHpEoIbTgS3aFPSEwZNN6l.jpg,https://image.tmdb.org/t/p/https://api.themoviedb.org/3/pWDtjs568ZfOTMbURQBYuT4Qxka.jpg,https://image.tmdb.org/t/p/https://api.themoviedb.org/3/p8g1vlTvpM6nr2h"&amp;"MMiZ1fUlKF0D.jpg,https://image.tmdb.org/t/p/https://api.themoviedb.org/3/gwynHc2RrOFaplYMMpQRpr3TIA4.jpg,https://image.tmdb.org/t/p/https://api.themoviedb.org/3/2HahJCcUEduvMUTQhsqRwutpFw1.jpg,https://image.tmdb.org/t/p/https://api.themoviedb.org/3/tmclkE"&amp;"pjeo4Zu564gf3KrwIOuKw.jpg,https://image.tmdb.org/t/p/https://api.themoviedb.org/3/gfdrkBZAyUUXJJ2iLQe03SAYRD3.jpg,https://image.tmdb.org/t/p/https://api.themoviedb.org/3/9nYranPiWdNmbD5PRPPSL7VUFTS.jpg,https://image.tmdb.org/t/p/https://api.themoviedb.org"&amp;"/3/na5tAslm1kGNcft083AIXMTOsYR.jpg,https://image.tmdb.org/t/p/https://api.themoviedb.org/3/1YpFQ2MQKzlDoa8diLWkapdRI8t.jpg,https://image.tmdb.org/t/p/https://api.themoviedb.org/3/2o4vBAnORr9UnLMvWHhULGDHfzH.jpg,https://image.tmdb.org/t/p/https://api.themo"&amp;"viedb.org/3/7IiTTgloJzvGI1TAYymCfbfl3vT.jpg,https://image.tmdb.org/t/p/https://api.themoviedb.org/3/dKhexH8nS08lVlSmwSs00cHFxbY.jpg,https://image.tmdb.org/t/p/https://api.themoviedb.org/3/z5uIG81pXyHKg7cUFIu84Wjn4NS.jpg,https://image.tmdb.org/t/p/https://"&amp;"api.themoviedb.org/3/a1gIACZb04bL8EvLqMpofW2Eqeo.jpg,https://image.tmdb.org/t/p/https://api.themoviedb.org/3/6E50WjeOYjDZg9HXgPjYdGtY2jG.jpg,https://image.tmdb.org/t/p/https://api.themoviedb.org/3/gsFoJk9g8W3zgaipRrrURk7LbiF.jpg,https://image.tmdb.org/t/p"&amp;"/https://api.themoviedb.org/3/oFBQUufCV4c8WZoNhtGM17p884H.jpg,https://image.tmdb.org/t/p/https://api.themoviedb.org/3/3705GxG0RN9XDV5y9IiXKYHw1fK.jpg,https://image.tmdb.org/t/p/https://api.themoviedb.org/3/hrBWiMWnD7mheMx846ycUWA3ohs.jpg,https://image.tmd"&amp;"b.org/t/p/https://api.themoviedb.org/3/6YPzBcMH0aPNTvdXNCDLY0zdE1g.jpg,https://image.tmdb.org/t/p/https://api.themoviedb.org/3/6u65C8aG4krAVyHsTjAMF7ucTDH.jpg,https://image.tmdb.org/t/p/https://api.themoviedb.org/3/m5AKo8iZAYulI87Uzxkn87vRY07.jpg,https://"&amp;"image.tmdb.org/t/p/https://api.themoviedb.org/3/8ppkhu3pO3fnXr05YeE7ryKloVd.jpg,https://image.tmdb.org/t/p/https://api.themoviedb.org/3/xEoq2WmDzpzxhkHEsmOYOg6BPg6.jpg,https://image.tmdb.org/t/p/https://api.themoviedb.org/3/6stnAm1wSek8ZrislwK4xGTyCnt.jpg"&amp;",https://image.tmdb.org/t/p/https://api.themoviedb.org/3/c3zEimDraIyMSasPMGDaNOrhnzn.jpg,https://image.tmdb.org/t/p/https://api.themoviedb.org/3/46X1ei9uf13nkkr0OhWldGyr5Uh.jpg,https://image.tmdb.org/t/p/https://api.themoviedb.org/3/qwqHHZLZSUvMkAMQ47ymtf"&amp;"jEifY.jpg,https://image.tmdb.org/t/p/https://api.themoviedb.org/3/gg7tlp45xqGWMra0sqQVPvybje2.jpg,https://image.tmdb.org/t/p/https://api.themoviedb.org/3/uW1UUFIKoMHHR64K1aftnmc5eu9.jpg,https://image.tmdb.org/t/p/https://api.themoviedb.org/3/oJD9KQFoObZmx"&amp;"AS1je56SIFVNJt.jpg,https://image.tmdb.org/t/p/https://api.themoviedb.org/3/pU1ULUq8D3iRxl1fdX2lZIzdHuI.jpg,https://image.tmdb.org/t/p/https://api.themoviedb.org/3/ipBiyifbFqY0ZduO3R9OPBjc2pH.jpg,https://image.tmdb.org/t/p/https://api.themoviedb.org/3/AeRp"&amp;"UynJKDpJveklBJipOYrVxCS.jpg,https://image.tmdb.org/t/p/https://api.themoviedb.org/3/1YINof6kN5yRdePEbcU5360ejoq.jpg,https://image.tmdb.org/t/p/https://api.themoviedb.org/3/bHbz7z2pecTawhkqLpuC2m0qywe.jpg,https://image.tmdb.org/t/p/https://api.themoviedb.o"&amp;"rg/3/yp4CDOVpVmNwiPoZKQeFCpW8CFo.jpg,https://image.tmdb.org/t/p/https://api.themoviedb.org/3/oqA45qMyyo1TtrnVEBKxqmTPhbN.jpg,https://image.tmdb.org/t/p/https://api.themoviedb.org/3/esmAU0fCO28FbS6bUBKLAzJrohZ.jpg,https://image.tmdb.org/t/p/https://api.the"&amp;"moviedb.org/3/mi5lh2brPMzuWYddyUKuCtcnjt1.jpg,https://image.tmdb.org/t/p/https://api.themoviedb.org/3/rLNSOudrayDBo1uqXjrhxcjODIC.jpg,https://image.tmdb.org/t/p/https://api.themoviedb.org/3/gTnaTysN8HsvVQqTRUh8m35mmUA.jpg,https://image.tmdb.org/t/p/https:"&amp;"//api.themoviedb.org/3/4iO9n24Rb10peXV0JH2EldIOrAp.jpg,https://image.tmdb.org/t/p/https://api.themoviedb.org/3/ku1QdCXOU4ckz3zxLLlis8MIJVm.jpg,https://image.tmdb.org/t/p/https://api.themoviedb.org/3/rKl79KqLXg60KFyKsLe4wSSjQ08.jpg,https://image.tmdb.org/t"&amp;"/p/https://api.themoviedb.org/3/9JtluosCbioSXJSABZByaODyPpa.jpg,https://image.tmdb.org/t/p/https://api.themoviedb.org/3/qHCZ6LjtmqWDfXXN28TlIC9OppK.jpg,https://image.tmdb.org/t/p/https://api.themoviedb.org/3/fVQFPRuw3yWXojYDJvA5EoFjUOY.jpg,https://image.t"&amp;"mdb.org/t/p/https://api.themoviedb.org/3/7Eb1JWK0Cb0rbfsYjwfc9g0PbQH.jpg,https://image.tmdb.org/t/p/https://api.themoviedb.org/3/lpNG1nx67rvYze1b1R9q0YoSzrC.jpg,https://image.tmdb.org/t/p/https://api.themoviedb.org/3/lr9ZIrmuwVmZhpZuTCW8D9g0ZJe.jpg,https:"&amp;"//image.tmdb.org/t/p/https://api.themoviedb.org/3/dORlVasiaDkJXTqt9bdH7nFNs6C.jpg,https://image.tmdb.org/t/p/https://api.themoviedb.org/3/qpH8ToZVlFD1bakL04LkEKodyDI.jpg,https://image.tmdb.org/t/p/https://api.themoviedb.org/3/g0YcSd5QpgGXOjg9tl0if0soOkE.j"&amp;"pg,https://image.tmdb.org/t/p/https://api.themoviedb.org/3/vd9K93gQ9whMKjXzADZanxWpIXM.jpg,https://image.tmdb.org/t/p/https://api.themoviedb.org/3/7KJrvJf96UpkXsWVOjzCo1IbnW6.jpg,https://image.tmdb.org/t/p/https://api.themoviedb.org/3/A3Au37c3KJX29BDvldzG"&amp;"iYtaU5B.jpg,https://image.tmdb.org/t/p/https://api.themoviedb.org/3/6PJjhNNAZ6LdGjQ8LXDFZuYnYkP.jpg,https://image.tmdb.org/t/p/https://api.themoviedb.org/3/dgXPhzNJH8HFTBjXPB177yNx6RI.jpg,https://image.tmdb.org/t/p/https://api.themoviedb.org/3/uAR0AWqhQL1"&amp;"hQa69UDEbb2rE5Wx.jpg,https://image.tmdb.org/t/p/https://api.themoviedb.org/3/pU4lcKfjf0U8pM036FHyoVGLev7.jpg,https://image.tmdb.org/t/p/https://api.themoviedb.org/3/nrmXQ0zcZUL8jFLrakWc90IR8z9.jpg,https://image.tmdb.org/t/p/https://api.themoviedb.org/3/uS"&amp;"9m8OBk1A8eM9I042bx8XXpqAq.jpg,https://image.tmdb.org/t/p/https://api.themoviedb.org/3/s3b8TZWwmkYc2KoJ5zk77qB6PzY.jpg,https://image.tmdb.org/t/p/https://api.themoviedb.org/3/nzx10sca3arCeYBAomHan4Q6wa1.jpg,https://image.tmdb.org/t/p/https://api.themoviedb"&amp;".org/3/hF6ORyihtAWHqKkIQI8BSpLQyON.jpg,https://image.tmdb.org/t/p/https://api.themoviedb.org/3/oucvKATkCI77ngtPjxAI9SAZW42.jpg,https://image.tmdb.org/t/p/https://api.themoviedb.org/3/aPqcQwu4VGEewPhagWNncDbJ9Xp.jpg,https://image.tmdb.org/t/p/https://api.t"&amp;"hemoviedb.org/3/aQvJ5WPzZgYVDrxLX4R6cLJCEaQ.jpg,https://image.tmdb.org/t/p/https://api.themoviedb.org/3/b5pIUsGll0418NyfNA5eYCI9aoK.jpg,https://image.tmdb.org/t/p/https://api.themoviedb.org/3/tS0PedvA2mFO9VCHYwQpaU1K36U.jpg,https://image.tmdb.org/t/p/http"&amp;"s://api.themoviedb.org/3/kNbaxEsnCyWBTfANVPHayujBsxp.jpg,https://image.tmdb.org/t/p/https://api.themoviedb.org/3/kjdJntyBeEvqm9w97QGBdxPptzj.jpg,https://image.tmdb.org/t/p/https://api.themoviedb.org/3/aGuvNAaaZuWXYQQ6N2v7DeuP6mB.jpg,https://image.tmdb.org"&amp;"/t/p/https://api.themoviedb.org/3/qFmwhVUoUSXjkKRmca5yGDEXBIj.jpg,https://image.tmdb.org/t/p/https://api.themoviedb.org/3/qDlmKahejt0NoQzw65tnLayEhHZ.jpg,https://image.tmdb.org/t/p/https://api.themoviedb.org/3/6wkfovpn7Eq8dYNKaG5PY3q2oq6.jpg,https://image"&amp;".tmdb.org/t/p/https://api.themoviedb.org/3/oZNPzxqM2s5DyVWab09NTQScDQt.jpg,https://image.tmdb.org/t/p/https://api.themoviedb.org/3/xfSAoBEm9MNBjmlNcDYLvLSMlnq.jpg,https://image.tmdb.org/t/p/https://api.themoviedb.org/3/6FfCtAuVAW8XJjZ7eWeLibRLWTw.jpg,http"&amp;"s://image.tmdb.org/t/p/https://api.themoviedb.org/3/nNAeTmF4CtdSgMDplXTDPOpYzsX.jpg,https://image.tmdb.org/t/p/https://api.themoviedb.org/3/jQYlydvHm3kUix1f8prMucrplhm.jpg,https://image.tmdb.org/t/p/https://api.themoviedb.org/3/gwsg4qFmLOvlhwXj4OZuxfFUdP0"&amp;".jpg,https://image.tmdb.org/t/p/https://api.themoviedb.org/3/lqoMzCcZYEFK729d6qzt349fB4o.jpg,https://image.tmdb.org/t/p/https://api.themoviedb.org/3/zastd8zM2ftOJpC7Y6gRFqAB7r.jpg,https://image.tmdb.org/t/p/https://api.themoviedb.org/3/pUWIjaMMYJjeBm5bJyE"&amp;"3mIXdQ62.jpg,https://image.tmdb.org/t/p/https://api.themoviedb.org/3/eJGWx219ZcEMVQJhAgMiqo8tYY.jpg,https://image.tmdb.org/t/p/https://api.themoviedb.org/3/ek8e8txUyUwd2BNqj6lFEerJfbq.jpg,https://image.tmdb.org/t/p/https://api.themoviedb.org/3/ldyfo0BKmz5"&amp;"rWtJJKCvwaNS4cJT.jpg,https://image.tmdb.org/t/p/https://api.themoviedb.org/3/yzAlcuJhpnxRPjaj7AHBRbNPQCJ.jpg,https://image.tmdb.org/t/p/https://api.themoviedb.org/3/77i7EBUyQKOUiZeYQ5tWDGQb0AI.jpg,https://image.tmdb.org/t/p/https://api.themoviedb.org/3/9t"&amp;"7gUKSxXjvQpgHdC7VUhJ1BTBK.jpg,https://image.tmdb.org/t/p/https://api.themoviedb.org/3/ym7Kst6a4uodryxqbGOxmewF235.jpg,https://image.tmdb.org/t/p/https://api.themoviedb.org/3/m1Q2VFe1DVVbjfu1LDZe7tlp9yb.jpg,https://image.tmdb.org/t/p/https://api.themoviedb"&amp;".org/3/38C91I7Xft0gyY7BITm8i4yvuRb.jpg,https://image.tmdb.org/t/p/https://api.themoviedb.org/3/7NmDIj5I1OFOZfYFnS3uWtM7WMO.jpg,https://image.tmdb.org/t/p/https://api.themoviedb.org/3/vvevzdYIrk2636maNW4qeWmlPFG.jpg,https://image.tmdb.org/t/p/https://api.t"&amp;"hemoviedb.org/3/eMP4F0POBgrB4icn6XgYeLLIrld.jpg,https://image.tmdb.org/t/p/https://api.themoviedb.org/3/fjXqhGmaeQpB73WerhrYU6HlyV5.jpg,https://image.tmdb.org/t/p/https://api.themoviedb.org/3/qEAlwXbYk6IHA4ztoS2XFFaa7Xo.jpg,https://image.tmdb.org/t/p/http"&amp;"s://api.themoviedb.org/3/ju10W5gl3PPK3b7TjEmVOZap51I.jpg,https://image.tmdb.org/t/p/https://api.themoviedb.org/3/iFmaJ7mAwFJpx5gv6vUMvRKCeFm.jpg,https://image.tmdb.org/t/p/https://api.themoviedb.org/3/mpgkRPH1GNkMCgdPk2OMyHzAks7.jpg,https://image.tmdb.org"&amp;"/t/p/https://api.themoviedb.org/3/781px1eOtfVt1RdIsL4Dt1s3x7R.jpg,https://image.tmdb.org/t/p/https://api.themoviedb.org/3/oaLhdRsZ5Mq8VfZtA4Wlvjzzn0X.jpg,https://image.tmdb.org/t/p/https://api.themoviedb.org/3/wp6OxE4poJ4G7c0U2ZIXasTSMR7.jpg,https://image"&amp;".tmdb.org/t/p/https://api.themoviedb.org/3/kziYpr5Nfw60P0My8aj1sgCEqed.jpg,https://image.tmdb.org/t/p/https://api.themoviedb.org/3/w0nmol4g7n6MFfhfphV7GzHHYjB.jpg,https://image.tmdb.org/t/p/https://api.themoviedb.org/3/zAurB9mNxfYRoVrVjAJJwGV3sPg.jpg,http"&amp;"s://image.tmdb.org/t/p/https://api.themoviedb.org/3/8shwLEDzajJGSfLgbpac8x8xn1U.jpg,https://image.tmdb.org/t/p/https://api.themoviedb.org/3/42H2aaD5UubsHyWt6zfrFMRP8y1.jpg,https://image.tmdb.org/t/p/https://api.themoviedb.org/3/tQ4IWxSYIgZVWnQwLCG8r6sUraU"&amp;".jpg,https://image.tmdb.org/t/p/https://api.themoviedb.org/3/Avlo5JZOBXWx4oymtkXfCaomV5Y.jpg,https://image.tmdb.org/t/p/https://api.themoviedb.org/3/ux2dU1jQ2ACIMShzB3yP93Udpzc.jpg,https://image.tmdb.org/t/p/https://api.themoviedb.org/3/o4hcWsHaHaNQ9BBReO"&amp;"xLvYJNRhA.jpg,https://image.tmdb.org/t/p/https://api.themoviedb.org/3/aM3wnZTKEuPLDwxuMWcHDibOkiw.jpg,https://image.tmdb.org/t/p/https://api.themoviedb.org/3/9fSogEkqDfJQTuGHsTFloQz3Tw8.jpg,https://image.tmdb.org/t/p/https://api.themoviedb.org/3/1bOMmFtny"&amp;"kBmvhFcx8zdXO6bCAa.jpg,https://image.tmdb.org/t/p/https://api.themoviedb.org/3/wXaf6VGNHIGU7qivapGOF7o4o4N.jpg,https://image.tmdb.org/t/p/https://api.themoviedb.org/3/9nlJVsbebi1onTwGyJ3UHDNttID.jpg,https://image.tmdb.org/t/p/https://api.themoviedb.org/3/"&amp;"cncxLilRHKayn8VKhzjAMHkbN4f.jpg,https://image.tmdb.org/t/p/https://api.themoviedb.org/3/qqqkiZSU9EBGZ1KiDmfn07S7qvv.jpg,https://image.tmdb.org/t/p/https://api.themoviedb.org/3/RbymxgEM5SpDfO2Io2JMFG10Vi.jpg,https://image.tmdb.org/t/p/https://api.themovied"&amp;"b.org/3/3vYhLLxrTtZLysXtIWktmd57Snv.jpg,https://image.tmdb.org/t/p/https://api.themoviedb.org/3/gwfgYA9wGpV4QLB0LrcexwfwC19.jpg,https://image.tmdb.org/t/p/https://api.themoviedb.org/3/AtdYbs1SqYwFOLyi2v6ldVTawbn.jpg,https://image.tmdb.org/t/p/https://api."&amp;"themoviedb.org/3/qF2LJ0jwWrtXSuT4AFD5OS2IqaT.jpg,https://image.tmdb.org/t/p/https://api.themoviedb.org/3/cpf7vsRZ0MYRQcnLWteD5jK9ymT.jpg,https://image.tmdb.org/t/p/https://api.themoviedb.org/3/q5BWxfL1x34nyYSvA3Qo5odleGW.jpg,https://image.tmdb.org/t/p/htt"&amp;"ps://api.themoviedb.org/3/iQ7G9LhP7NRRIUM4Vlai3eOxBAc.jpg,https://image.tmdb.org/t/p/https://api.themoviedb.org/3/6TeIVKPw7nXXWy2zKmDmlnSwzb7.jpg,https://image.tmdb.org/t/p/https://api.themoviedb.org/3/xDGbZ0JJ3mYaGKy4Nzd9Kph6M9L.jpg,https://image.tmdb.or"&amp;"g/t/p/https://api.themoviedb.org/3/si9tolnefLSUKaqQEGz1bWArOaL.jpg,https://image.tmdb.org/t/p/https://api.themoviedb.org/3/kW9LmvYHAaS9iA0tHmZVq8hQYoq.jpg,https://image.tmdb.org/t/p/https://api.themoviedb.org/3/12G5V0dTmljnv7RFMT144dJ2chh.jpg,https://imag"&amp;"e.tmdb.org/t/p/https://api.themoviedb.org/3/ow3IMhTVLryZuCEoQznVTTmFYuu.jpg,https://image.tmdb.org/t/p/https://api.themoviedb.org/3/84s4LMWuGbm4xPWW5PSbHyQhh33.jpg,https://image.tmdb.org/t/p/https://api.themoviedb.org/3/l1vD4GY7tlT420KJ3xWTzyQ2Aa9.jpg,htt"&amp;"ps://image.tmdb.org/t/p/https://api.themoviedb.org/3/8fABep8FSRpeo8Ea4j3rfnoVgkg.jpg,https://image.tmdb.org/t/p/https://api.themoviedb.org/3/lopZSVtXzhFY603E9OqF7O1YKsh.jpg,https://image.tmdb.org/t/p/https://api.themoviedb.org/3/8Vk2nQF1kY34x53YnWd5zDaTht"&amp;".jpg,https://image.tmdb.org/t/p/https://api.themoviedb.org/3/6YmeO4pB7XTh8P8F960O1uA14JO.jpg,https://image.tmdb.org/t/p/https://api.themoviedb.org/3/dUkAmAyPVqubSBNRjRqCgHggZcK.jpg"</x:formula1>
    </x:dataValidation>
  </x:dataValidations>
  <x:pageMargins left="0.7" right="0.7" top="0.75" bottom="0.75" header="0.3" footer="0.3"/>
  <x:tableParts count="1">
    <x:tablePart xmlns:r="http://schemas.openxmlformats.org/officeDocument/2006/relationships" r:id="Rc9737dc1ffc04716"/>
  </x:tableParts>
</x:worksheet>
</file>

<file path=xl/worksheets/sheet2.xml><?xml version="1.0" encoding="utf-8"?>
<x:worksheet xmlns:x="http://schemas.openxmlformats.org/spreadsheetml/2006/main">
  <x:sheetFormatPr defaultColWidth="12.630000114440918" defaultRowHeight="15"/>
  <x:cols>
    <x:col min="1" max="2" width="18" customWidth="1"/>
    <x:col min="3" max="3" width="8.630000114440918" customWidth="1"/>
    <x:col min="4" max="5" width="18" customWidth="1"/>
    <x:col min="6" max="26" width="8.630000114440918" customWidth="1"/>
  </x:cols>
  <x:sheetData>
    <x:row r="1">
      <x:c r="A1" s="30" t="s">
        <x:v>28</x:v>
      </x:c>
      <x:c r="I1" s="31"/>
      <x:c r="J1" s="31"/>
      <x:c r="K1" s="31"/>
      <x:c r="L1" s="31"/>
      <x:c r="M1" s="31"/>
      <x:c r="N1" s="31"/>
    </x:row>
    <x:row r="2">
      <x:c r="A2" s="31"/>
      <x:c r="B2" s="31"/>
      <x:c r="C2" s="31"/>
      <x:c r="D2" s="31"/>
      <x:c r="E2" s="31"/>
      <x:c r="F2" s="31"/>
      <x:c r="G2" s="31"/>
      <x:c r="H2" s="31"/>
      <x:c r="I2" s="31"/>
      <x:c r="J2" s="31"/>
      <x:c r="K2" s="31"/>
      <x:c r="L2" s="31"/>
      <x:c r="M2" s="31"/>
      <x:c r="N2" s="31"/>
    </x:row>
    <x:row r="3">
      <x:c r="A3" s="32" t="s">
        <x:v>29</x:v>
      </x:c>
      <x:c r="B3" s="32" t="s">
        <x:v>30</x:v>
      </x:c>
      <x:c r="C3" s="31"/>
      <x:c r="D3" s="32" t="s">
        <x:v>7</x:v>
      </x:c>
      <x:c r="E3" s="32" t="s">
        <x:v>31</x:v>
      </x:c>
      <x:c r="F3" s="31"/>
      <x:c r="G3" s="31"/>
      <x:c r="H3" s="31"/>
      <x:c r="I3" s="31"/>
      <x:c r="J3" s="31"/>
      <x:c r="K3" s="31"/>
      <x:c r="L3" s="31"/>
      <x:c r="M3" s="31"/>
      <x:c r="N3" s="31"/>
    </x:row>
    <x:row r="4">
      <x:c r="A4" s="33" t="s">
        <x:v>32</x:v>
      </x:c>
      <x:c r="B4" s="34" t="n">
        <x:f>COUNTA('Movie Library'!B2:B414)</x:f>
        <x:v>413</x:v>
      </x:c>
      <x:c r="C4" s="31"/>
      <x:c r="D4" s="31" t="s">
        <x:v>33</x:v>
      </x:c>
      <x:c r="E4" s="35" t="n">
        <x:f>COUNTIF('Movie Library'!H2:H414,"*"&amp;D4&amp;"*")</x:f>
        <x:v>0</x:v>
      </x:c>
      <x:c r="F4" s="31"/>
      <x:c r="G4" s="31"/>
      <x:c r="H4" s="31"/>
      <x:c r="I4" s="31"/>
      <x:c r="J4" s="31"/>
      <x:c r="K4" s="31"/>
      <x:c r="L4" s="31"/>
      <x:c r="M4" s="31"/>
      <x:c r="N4" s="31"/>
    </x:row>
    <x:row r="5">
      <x:c r="A5" s="33" t="s">
        <x:v>34</x:v>
      </x:c>
      <x:c r="B5" s="34" t="n">
        <x:f>COUNTIF('Movie Library'!O2:O414,"Watched")</x:f>
        <x:v>0</x:v>
      </x:c>
      <x:c r="C5" s="31"/>
      <x:c r="D5" s="31" t="s">
        <x:v>35</x:v>
      </x:c>
      <x:c r="E5" s="35" t="n">
        <x:f>COUNTIF('Movie Library'!H2:H414,"*"&amp;D5&amp;"*")</x:f>
        <x:v>0</x:v>
      </x:c>
      <x:c r="F5" s="31"/>
      <x:c r="G5" s="31"/>
      <x:c r="H5" s="31"/>
      <x:c r="I5" s="31"/>
      <x:c r="J5" s="31"/>
      <x:c r="K5" s="31"/>
      <x:c r="L5" s="31"/>
      <x:c r="M5" s="31"/>
      <x:c r="N5" s="31"/>
    </x:row>
    <x:row r="6">
      <x:c r="A6" s="33" t="s">
        <x:v>36</x:v>
      </x:c>
      <x:c r="B6" s="34" t="n">
        <x:f>COUNTIF('Movie Library'!O2:O414,"Unwatched")</x:f>
        <x:v>413</x:v>
      </x:c>
      <x:c r="C6" s="31"/>
      <x:c r="D6" s="31" t="s">
        <x:v>37</x:v>
      </x:c>
      <x:c r="E6" s="35" t="n">
        <x:f>COUNTIF('Movie Library'!H2:H414,"*"&amp;D6&amp;"*")</x:f>
        <x:v>0</x:v>
      </x:c>
      <x:c r="F6" s="31"/>
      <x:c r="G6" s="31"/>
      <x:c r="H6" s="31"/>
      <x:c r="I6" s="31"/>
      <x:c r="J6" s="31"/>
      <x:c r="K6" s="31"/>
      <x:c r="L6" s="31"/>
      <x:c r="M6" s="31"/>
      <x:c r="N6" s="31"/>
    </x:row>
    <x:row r="7">
      <x:c r="A7" s="33" t="s">
        <x:v>38</x:v>
      </x:c>
      <x:c r="B7" s="34" t="n">
        <x:f>COUNTIF('Movie Library'!O2:O414,"In Progress")</x:f>
        <x:v>0</x:v>
      </x:c>
      <x:c r="C7" s="31"/>
      <x:c r="D7" s="31" t="s">
        <x:v>39</x:v>
      </x:c>
      <x:c r="E7" s="35" t="n">
        <x:f>COUNTIF('Movie Library'!H2:H414,"*"&amp;D7&amp;"*")</x:f>
        <x:v>0</x:v>
      </x:c>
      <x:c r="F7" s="31"/>
      <x:c r="G7" s="31"/>
      <x:c r="H7" s="31"/>
      <x:c r="I7" s="31"/>
      <x:c r="J7" s="31"/>
      <x:c r="K7" s="31"/>
      <x:c r="L7" s="31"/>
      <x:c r="M7" s="31"/>
      <x:c r="N7" s="31"/>
    </x:row>
    <x:row r="8">
      <x:c r="A8" s="33" t="s">
        <x:v>40</x:v>
      </x:c>
      <x:c r="B8" s="34" t="str">
        <x:f>IFERROR(AVERAGE('Movie Library'!P2:P414),"")</x:f>
      </x:c>
      <x:c r="C8" s="31"/>
      <x:c r="D8" s="31" t="s">
        <x:v>41</x:v>
      </x:c>
      <x:c r="E8" s="35" t="n">
        <x:f>COUNTIF('Movie Library'!H2:H414,"*"&amp;D8&amp;"*")</x:f>
        <x:v>0</x:v>
      </x:c>
      <x:c r="F8" s="31"/>
      <x:c r="G8" s="31"/>
      <x:c r="H8" s="31"/>
      <x:c r="I8" s="31"/>
      <x:c r="J8" s="31"/>
      <x:c r="K8" s="31"/>
      <x:c r="L8" s="31"/>
      <x:c r="M8" s="31"/>
      <x:c r="N8" s="31"/>
    </x:row>
    <x:row r="9">
      <x:c r="A9" s="33" t="s">
        <x:v>42</x:v>
      </x:c>
      <x:c r="B9" s="34" t="n">
        <x:f>IFERROR(AVERAGE('Movie Library'!G2:G414),"")</x:f>
        <x:v>6.60484900990099</x:v>
      </x:c>
      <x:c r="C9" s="31"/>
      <x:c r="D9" s="31" t="s">
        <x:v>43</x:v>
      </x:c>
      <x:c r="E9" s="35" t="n">
        <x:f>COUNTIF('Movie Library'!H2:H414,"*"&amp;D9&amp;"*")</x:f>
        <x:v>0</x:v>
      </x:c>
      <x:c r="F9" s="31"/>
      <x:c r="G9" s="31"/>
      <x:c r="H9" s="31"/>
      <x:c r="I9" s="31"/>
      <x:c r="J9" s="31"/>
      <x:c r="K9" s="31"/>
      <x:c r="L9" s="31"/>
      <x:c r="M9" s="31"/>
      <x:c r="N9" s="31"/>
    </x:row>
    <x:row r="10">
      <x:c r="A10" s="31"/>
      <x:c r="B10" s="31"/>
      <x:c r="C10" s="31"/>
      <x:c r="D10" s="31" t="s">
        <x:v>44</x:v>
      </x:c>
      <x:c r="E10" s="35" t="n">
        <x:f>COUNTIF('Movie Library'!H2:H414,"*"&amp;D10&amp;"*")</x:f>
        <x:v>0</x:v>
      </x:c>
      <x:c r="F10" s="31"/>
      <x:c r="G10" s="31"/>
      <x:c r="H10" s="31"/>
      <x:c r="I10" s="31"/>
      <x:c r="J10" s="31"/>
      <x:c r="K10" s="31"/>
      <x:c r="L10" s="31"/>
      <x:c r="M10" s="31"/>
      <x:c r="N10" s="31"/>
    </x:row>
    <x:row r="11">
      <x:c r="A11" s="31"/>
      <x:c r="B11" s="31"/>
      <x:c r="C11" s="31"/>
      <x:c r="D11" s="31" t="s">
        <x:v>45</x:v>
      </x:c>
      <x:c r="E11" s="35" t="n">
        <x:f>COUNTIF('Movie Library'!H2:H414,"*"&amp;D11&amp;"*")</x:f>
        <x:v>0</x:v>
      </x:c>
      <x:c r="F11" s="31"/>
      <x:c r="G11" s="31"/>
      <x:c r="H11" s="31"/>
      <x:c r="I11" s="31"/>
      <x:c r="J11" s="31"/>
      <x:c r="K11" s="31"/>
      <x:c r="L11" s="31"/>
      <x:c r="M11" s="31"/>
      <x:c r="N11" s="31"/>
    </x:row>
    <x:row r="12">
      <x:c r="A12" s="32" t="s">
        <x:v>46</x:v>
      </x:c>
      <x:c r="B12" s="32" t="s">
        <x:v>31</x:v>
      </x:c>
      <x:c r="C12" s="31"/>
      <x:c r="D12" s="31" t="s">
        <x:v>47</x:v>
      </x:c>
      <x:c r="E12" s="35" t="n">
        <x:f>COUNTIF('Movie Library'!H2:H414,"*"&amp;D12&amp;"*")</x:f>
        <x:v>0</x:v>
      </x:c>
      <x:c r="F12" s="31"/>
      <x:c r="G12" s="31"/>
      <x:c r="H12" s="31"/>
      <x:c r="I12" s="31"/>
      <x:c r="J12" s="31"/>
      <x:c r="K12" s="31"/>
      <x:c r="L12" s="31"/>
      <x:c r="M12" s="31"/>
      <x:c r="N12" s="31"/>
    </x:row>
    <x:row r="13">
      <x:c r="A13" s="31" t="s">
        <x:v>34</x:v>
      </x:c>
      <x:c r="B13" s="35" t="n">
        <x:f>COUNTIF('Movie Library'!O2:O414,"Watched")</x:f>
        <x:v>0</x:v>
      </x:c>
      <x:c r="C13" s="31"/>
      <x:c r="D13" s="31" t="s">
        <x:v>48</x:v>
      </x:c>
      <x:c r="E13" s="35" t="n">
        <x:f>COUNTIF('Movie Library'!H2:H414,"*"&amp;D13&amp;"*")</x:f>
        <x:v>0</x:v>
      </x:c>
      <x:c r="F13" s="31"/>
      <x:c r="G13" s="31"/>
      <x:c r="H13" s="31"/>
      <x:c r="I13" s="31"/>
      <x:c r="J13" s="31"/>
      <x:c r="K13" s="31"/>
      <x:c r="L13" s="31"/>
      <x:c r="M13" s="31"/>
      <x:c r="N13" s="31"/>
    </x:row>
    <x:row r="14">
      <x:c r="A14" s="31" t="s">
        <x:v>36</x:v>
      </x:c>
      <x:c r="B14" s="35" t="n">
        <x:f>COUNTIF('Movie Library'!O2:O414,"Unwatched")</x:f>
        <x:v>413</x:v>
      </x:c>
      <x:c r="C14" s="31"/>
      <x:c r="D14" s="31" t="s">
        <x:v>21</x:v>
      </x:c>
      <x:c r="E14" s="35" t="n">
        <x:f>COUNTIF('Movie Library'!H2:H414,"*"&amp;D14&amp;"*")</x:f>
        <x:v>0</x:v>
      </x:c>
      <x:c r="F14" s="31"/>
      <x:c r="G14" s="31"/>
      <x:c r="H14" s="31"/>
      <x:c r="I14" s="31"/>
      <x:c r="J14" s="31"/>
      <x:c r="K14" s="31"/>
      <x:c r="L14" s="31"/>
      <x:c r="M14" s="31"/>
      <x:c r="N14" s="31"/>
    </x:row>
    <x:row r="15">
      <x:c r="A15" s="31" t="s">
        <x:v>38</x:v>
      </x:c>
      <x:c r="B15" s="35" t="n">
        <x:f>COUNTIF('Movie Library'!O2:O414,"In Progress")</x:f>
        <x:v>0</x:v>
      </x:c>
      <x:c r="C15" s="31"/>
      <x:c r="D15" s="31" t="s">
        <x:v>49</x:v>
      </x:c>
      <x:c r="E15" s="35" t="n">
        <x:f>COUNTIF('Movie Library'!H2:H414,"*"&amp;D15&amp;"*")</x:f>
        <x:v>0</x:v>
      </x:c>
      <x:c r="F15" s="31"/>
      <x:c r="G15" s="31"/>
      <x:c r="H15" s="31"/>
      <x:c r="I15" s="31"/>
      <x:c r="J15" s="31"/>
      <x:c r="K15" s="31"/>
      <x:c r="L15" s="31"/>
      <x:c r="M15" s="31"/>
      <x:c r="N15" s="31"/>
    </x:row>
    <x:row r="16">
      <x:c r="A16" s="31"/>
      <x:c r="B16" s="31"/>
      <x:c r="C16" s="31"/>
      <x:c r="D16" s="31" t="s">
        <x:v>50</x:v>
      </x:c>
      <x:c r="E16" s="35" t="n">
        <x:f>COUNTIF('Movie Library'!H2:H414,"*"&amp;D16&amp;"*")</x:f>
        <x:v>0</x:v>
      </x:c>
      <x:c r="F16" s="31"/>
      <x:c r="G16" s="31"/>
      <x:c r="H16" s="31"/>
      <x:c r="I16" s="31"/>
      <x:c r="J16" s="31"/>
      <x:c r="K16" s="31"/>
      <x:c r="L16" s="31"/>
      <x:c r="M16" s="31"/>
      <x:c r="N16" s="31"/>
    </x:row>
    <x:row r="17">
      <x:c r="A17" s="31"/>
      <x:c r="B17" s="31"/>
      <x:c r="C17" s="31"/>
      <x:c r="D17" s="31" t="s">
        <x:v>51</x:v>
      </x:c>
      <x:c r="E17" s="35" t="n">
        <x:f>COUNTIF('Movie Library'!H2:H414,"*"&amp;D17&amp;"*")</x:f>
        <x:v>0</x:v>
      </x:c>
      <x:c r="F17" s="31"/>
      <x:c r="G17" s="31"/>
      <x:c r="H17" s="31"/>
      <x:c r="I17" s="31"/>
      <x:c r="J17" s="31"/>
      <x:c r="K17" s="31"/>
      <x:c r="L17" s="31"/>
      <x:c r="M17" s="31"/>
      <x:c r="N17" s="31"/>
    </x:row>
    <x:row r="18">
      <x:c r="A18" s="32" t="s">
        <x:v>52</x:v>
      </x:c>
      <x:c r="B18" s="32" t="s">
        <x:v>31</x:v>
      </x:c>
      <x:c r="C18" s="31"/>
      <x:c r="D18" s="31" t="s">
        <x:v>53</x:v>
      </x:c>
      <x:c r="E18" s="35" t="n">
        <x:f>COUNTIF('Movie Library'!H2:H414,"*"&amp;D18&amp;"*")</x:f>
        <x:v>0</x:v>
      </x:c>
      <x:c r="F18" s="31"/>
      <x:c r="G18" s="31"/>
      <x:c r="H18" s="31"/>
      <x:c r="I18" s="31"/>
      <x:c r="J18" s="31"/>
      <x:c r="K18" s="31"/>
      <x:c r="L18" s="31"/>
      <x:c r="M18" s="31"/>
      <x:c r="N18" s="31"/>
    </x:row>
    <x:row r="19">
      <x:c r="A19" s="31">
        <x:v>1.0</x:v>
      </x:c>
      <x:c r="B19" s="35" t="n">
        <x:f>COUNTIF('Movie Library'!P2:P414,1)</x:f>
        <x:v>0</x:v>
      </x:c>
      <x:c r="C19" s="31"/>
      <x:c r="D19" s="31" t="s">
        <x:v>54</x:v>
      </x:c>
      <x:c r="E19" s="35" t="n">
        <x:f>COUNTIF('Movie Library'!H2:H414,"*"&amp;D19&amp;"*")</x:f>
        <x:v>0</x:v>
      </x:c>
      <x:c r="F19" s="31"/>
      <x:c r="G19" s="31"/>
      <x:c r="H19" s="31"/>
      <x:c r="I19" s="31"/>
      <x:c r="J19" s="31"/>
      <x:c r="K19" s="31"/>
      <x:c r="L19" s="31"/>
      <x:c r="M19" s="31"/>
      <x:c r="N19" s="31"/>
    </x:row>
    <x:row r="20">
      <x:c r="A20" s="31">
        <x:v>2.0</x:v>
      </x:c>
      <x:c r="B20" s="35" t="n">
        <x:f>COUNTIF('Movie Library'!P2:P414,2)</x:f>
        <x:v>0</x:v>
      </x:c>
      <x:c r="C20" s="31"/>
      <x:c r="D20" s="31" t="s">
        <x:v>55</x:v>
      </x:c>
      <x:c r="E20" s="35" t="n">
        <x:f>COUNTIF('Movie Library'!H2:H414,"*"&amp;D20&amp;"*")</x:f>
        <x:v>0</x:v>
      </x:c>
      <x:c r="F20" s="31"/>
      <x:c r="G20" s="31"/>
      <x:c r="H20" s="31"/>
      <x:c r="I20" s="31"/>
      <x:c r="J20" s="31"/>
      <x:c r="K20" s="31"/>
      <x:c r="L20" s="31"/>
      <x:c r="M20" s="31"/>
      <x:c r="N20" s="31"/>
    </x:row>
    <x:row r="21" ht="15.75" customHeight="1">
      <x:c r="A21" s="31">
        <x:v>3.0</x:v>
      </x:c>
      <x:c r="B21" s="35" t="n">
        <x:f>COUNTIF('Movie Library'!P2:P414,3)</x:f>
        <x:v>0</x:v>
      </x:c>
      <x:c r="C21" s="31"/>
      <x:c r="D21" s="31" t="s">
        <x:v>56</x:v>
      </x:c>
      <x:c r="E21" s="35" t="n">
        <x:f>COUNTIF('Movie Library'!H2:H414,"*"&amp;D21&amp;"*")</x:f>
        <x:v>0</x:v>
      </x:c>
      <x:c r="F21" s="31"/>
      <x:c r="G21" s="31"/>
      <x:c r="H21" s="31"/>
      <x:c r="I21" s="31"/>
      <x:c r="J21" s="31"/>
      <x:c r="K21" s="31"/>
      <x:c r="L21" s="31"/>
      <x:c r="M21" s="31"/>
      <x:c r="N21" s="31"/>
    </x:row>
    <x:row r="22" ht="15.75" customHeight="1">
      <x:c r="A22" s="31">
        <x:v>4.0</x:v>
      </x:c>
      <x:c r="B22" s="35" t="n">
        <x:f>COUNTIF('Movie Library'!P2:P414,4)</x:f>
        <x:v>0</x:v>
      </x:c>
      <x:c r="C22" s="31"/>
      <x:c r="D22" s="31" t="s">
        <x:v>57</x:v>
      </x:c>
      <x:c r="E22" s="35" t="n">
        <x:f>COUNTIF('Movie Library'!H2:H414,"*"&amp;D22&amp;"*")</x:f>
        <x:v>0</x:v>
      </x:c>
      <x:c r="F22" s="31"/>
      <x:c r="G22" s="31"/>
      <x:c r="H22" s="31"/>
      <x:c r="I22" s="31"/>
      <x:c r="J22" s="31"/>
      <x:c r="K22" s="31"/>
      <x:c r="L22" s="31"/>
      <x:c r="M22" s="31"/>
      <x:c r="N22" s="31"/>
    </x:row>
    <x:row r="23" ht="15.75" customHeight="1">
      <x:c r="A23" s="31">
        <x:v>5.0</x:v>
      </x:c>
      <x:c r="B23" s="35" t="n">
        <x:f>COUNTIF('Movie Library'!P2:P414,5)</x:f>
        <x:v>0</x:v>
      </x:c>
      <x:c r="C23" s="31"/>
      <x:c r="D23" s="31"/>
      <x:c r="E23" s="31"/>
      <x:c r="F23" s="31"/>
      <x:c r="G23" s="31"/>
      <x:c r="H23" s="31"/>
      <x:c r="I23" s="31"/>
      <x:c r="J23" s="31"/>
      <x:c r="K23" s="31"/>
      <x:c r="L23" s="31"/>
      <x:c r="M23" s="31"/>
      <x:c r="N23" s="31"/>
    </x:row>
    <x:row r="24" ht="15.75" customHeight="1">
      <x:c r="A24" s="31"/>
      <x:c r="B24" s="31"/>
      <x:c r="C24" s="31"/>
      <x:c r="D24" s="31"/>
      <x:c r="E24" s="31"/>
      <x:c r="F24" s="31"/>
      <x:c r="G24" s="31"/>
      <x:c r="H24" s="31"/>
      <x:c r="I24" s="31"/>
      <x:c r="J24" s="31"/>
      <x:c r="K24" s="31"/>
      <x:c r="L24" s="31"/>
      <x:c r="M24" s="31"/>
      <x:c r="N24" s="31"/>
    </x:row>
    <x:row r="25" ht="15.75" customHeight="1">
      <x:c r="A25" s="31"/>
      <x:c r="B25" s="31"/>
      <x:c r="C25" s="31"/>
      <x:c r="D25" s="32" t="s">
        <x:v>58</x:v>
      </x:c>
      <x:c r="E25" s="32" t="s">
        <x:v>31</x:v>
      </x:c>
      <x:c r="F25" s="31"/>
      <x:c r="G25" s="31"/>
      <x:c r="H25" s="31"/>
      <x:c r="I25" s="31"/>
      <x:c r="J25" s="31"/>
      <x:c r="K25" s="31"/>
      <x:c r="L25" s="31"/>
      <x:c r="M25" s="31"/>
      <x:c r="N25" s="31"/>
    </x:row>
    <x:row r="26" ht="15.75" customHeight="1">
      <x:c r="A26" s="31"/>
      <x:c r="B26" s="31"/>
      <x:c r="C26" s="31"/>
      <x:c r="D26" s="31" t="s">
        <x:v>59</x:v>
      </x:c>
      <x:c r="E26" s="35" t="n">
        <x:f>COUNTIFS('Movie Library'!G2:G414,"&gt;=0",'Movie Library'!G2:G414,"&lt;5")</x:f>
        <x:v>24</x:v>
      </x:c>
      <x:c r="F26" s="31"/>
      <x:c r="G26" s="31"/>
      <x:c r="H26" s="31"/>
      <x:c r="I26" s="31"/>
      <x:c r="J26" s="31"/>
      <x:c r="K26" s="31"/>
      <x:c r="L26" s="31"/>
      <x:c r="M26" s="31"/>
      <x:c r="N26" s="31"/>
    </x:row>
    <x:row r="27" ht="15.75" customHeight="1">
      <x:c r="A27" s="31"/>
      <x:c r="B27" s="31"/>
      <x:c r="C27" s="31"/>
      <x:c r="D27" s="31" t="s">
        <x:v>60</x:v>
      </x:c>
      <x:c r="E27" s="35" t="n">
        <x:f>COUNTIFS('Movie Library'!G2:G414,"&gt;=5",'Movie Library'!G2:G414,"&lt;6")</x:f>
        <x:v>66</x:v>
      </x:c>
      <x:c r="F27" s="31"/>
      <x:c r="G27" s="31"/>
      <x:c r="H27" s="31"/>
      <x:c r="I27" s="31"/>
      <x:c r="J27" s="31"/>
      <x:c r="K27" s="31"/>
      <x:c r="L27" s="31"/>
      <x:c r="M27" s="31"/>
      <x:c r="N27" s="31"/>
    </x:row>
    <x:row r="28" ht="15.75" customHeight="1">
      <x:c r="A28" s="31"/>
      <x:c r="B28" s="31"/>
      <x:c r="C28" s="31"/>
      <x:c r="D28" s="31" t="s">
        <x:v>61</x:v>
      </x:c>
      <x:c r="E28" s="35" t="n">
        <x:f>COUNTIFS('Movie Library'!G2:G414,"&gt;=6",'Movie Library'!G2:G414,"&lt;7")</x:f>
        <x:v>198</x:v>
      </x:c>
      <x:c r="F28" s="31"/>
      <x:c r="G28" s="31"/>
      <x:c r="H28" s="31"/>
      <x:c r="I28" s="31"/>
      <x:c r="J28" s="31"/>
      <x:c r="K28" s="31"/>
      <x:c r="L28" s="31"/>
      <x:c r="M28" s="31"/>
      <x:c r="N28" s="31"/>
    </x:row>
    <x:row r="29" ht="15.75" customHeight="1">
      <x:c r="A29" s="31"/>
      <x:c r="B29" s="31"/>
      <x:c r="C29" s="31"/>
      <x:c r="D29" s="31" t="s">
        <x:v>62</x:v>
      </x:c>
      <x:c r="E29" s="35" t="n">
        <x:f>COUNTIFS('Movie Library'!G2:G414,"&gt;=7",'Movie Library'!G2:G414,"&lt;8")</x:f>
        <x:v>103</x:v>
      </x:c>
      <x:c r="F29" s="31"/>
      <x:c r="G29" s="31"/>
      <x:c r="H29" s="31"/>
      <x:c r="I29" s="31"/>
      <x:c r="J29" s="31"/>
      <x:c r="K29" s="31"/>
      <x:c r="L29" s="31"/>
      <x:c r="M29" s="31"/>
      <x:c r="N29" s="31"/>
    </x:row>
    <x:row r="30" ht="15.75" customHeight="1">
      <x:c r="A30" s="31"/>
      <x:c r="B30" s="31"/>
      <x:c r="C30" s="31"/>
      <x:c r="D30" s="31" t="s">
        <x:v>63</x:v>
      </x:c>
      <x:c r="E30" s="35" t="n">
        <x:f>COUNTIFS('Movie Library'!G2:G414,"&gt;=8",'Movie Library'!G2:G414,"&lt;=10")</x:f>
        <x:v>22</x:v>
      </x:c>
      <x:c r="F30" s="31"/>
      <x:c r="G30" s="31"/>
      <x:c r="H30" s="31"/>
      <x:c r="I30" s="31"/>
      <x:c r="J30" s="31"/>
      <x:c r="K30" s="31"/>
      <x:c r="L30" s="31"/>
      <x:c r="M30" s="31"/>
      <x:c r="N30" s="31"/>
    </x:row>
    <x:row r="31" ht="15.75" customHeight="1">
      <x:c r="A31" s="31"/>
      <x:c r="B31" s="31"/>
      <x:c r="C31" s="31"/>
      <x:c r="D31" s="31"/>
      <x:c r="E31" s="31"/>
      <x:c r="F31" s="31"/>
      <x:c r="G31" s="31"/>
      <x:c r="H31" s="31"/>
      <x:c r="I31" s="31"/>
      <x:c r="J31" s="31"/>
      <x:c r="K31" s="31"/>
      <x:c r="L31" s="31"/>
      <x:c r="M31" s="31"/>
      <x:c r="N31" s="31"/>
    </x:row>
    <x:row r="32" ht="15.75" customHeight="1">
      <x:c r="A32" s="31"/>
      <x:c r="B32" s="31"/>
      <x:c r="C32" s="31"/>
      <x:c r="D32" s="31"/>
      <x:c r="E32" s="31"/>
      <x:c r="F32" s="31"/>
      <x:c r="G32" s="31"/>
      <x:c r="H32" s="31"/>
      <x:c r="I32" s="31"/>
      <x:c r="J32" s="31"/>
      <x:c r="K32" s="31"/>
      <x:c r="L32" s="31"/>
      <x:c r="M32" s="31"/>
      <x:c r="N32" s="31"/>
    </x:row>
    <x:row r="33" ht="15.75" customHeight="1">
      <x:c r="A33" s="31"/>
      <x:c r="B33" s="31"/>
      <x:c r="C33" s="31"/>
      <x:c r="D33" s="31"/>
      <x:c r="E33" s="31"/>
      <x:c r="F33" s="31"/>
      <x:c r="G33" s="31"/>
      <x:c r="H33" s="31"/>
      <x:c r="I33" s="31"/>
      <x:c r="J33" s="31"/>
      <x:c r="K33" s="31"/>
      <x:c r="L33" s="31"/>
      <x:c r="M33" s="31"/>
      <x:c r="N33" s="31"/>
    </x:row>
    <x:row r="34" ht="15.75" customHeight="1">
      <x:c r="A34" s="31"/>
      <x:c r="B34" s="31"/>
      <x:c r="C34" s="31"/>
      <x:c r="D34" s="31"/>
      <x:c r="E34" s="31"/>
      <x:c r="F34" s="31"/>
      <x:c r="G34" s="31"/>
      <x:c r="H34" s="31"/>
      <x:c r="I34" s="31"/>
      <x:c r="J34" s="31"/>
      <x:c r="K34" s="31"/>
      <x:c r="L34" s="31"/>
      <x:c r="M34" s="31"/>
      <x:c r="N34" s="31"/>
    </x:row>
    <x:row r="35" ht="15.75" customHeight="1">
      <x:c r="A35" s="31"/>
      <x:c r="B35" s="31"/>
      <x:c r="C35" s="31"/>
      <x:c r="D35" s="31"/>
      <x:c r="E35" s="31"/>
      <x:c r="F35" s="31"/>
      <x:c r="G35" s="31"/>
      <x:c r="H35" s="31"/>
      <x:c r="I35" s="31"/>
      <x:c r="J35" s="31"/>
      <x:c r="K35" s="31"/>
      <x:c r="L35" s="31"/>
      <x:c r="M35" s="31"/>
      <x:c r="N35" s="31"/>
    </x:row>
    <x:row r="36" ht="15.75" customHeight="1">
      <x:c r="A36" s="31"/>
      <x:c r="B36" s="31"/>
      <x:c r="C36" s="31"/>
      <x:c r="D36" s="31"/>
      <x:c r="E36" s="31"/>
      <x:c r="F36" s="31"/>
      <x:c r="G36" s="31"/>
      <x:c r="H36" s="31"/>
      <x:c r="I36" s="31"/>
      <x:c r="J36" s="31"/>
      <x:c r="K36" s="31"/>
      <x:c r="L36" s="31"/>
      <x:c r="M36" s="31"/>
      <x:c r="N36" s="31"/>
    </x:row>
    <x:row r="37" ht="15.75" customHeight="1">
      <x:c r="A37" s="31"/>
      <x:c r="B37" s="31"/>
      <x:c r="C37" s="31"/>
      <x:c r="D37" s="31"/>
      <x:c r="E37" s="31"/>
      <x:c r="F37" s="31"/>
      <x:c r="G37" s="31"/>
      <x:c r="H37" s="31"/>
      <x:c r="I37" s="31"/>
      <x:c r="J37" s="31"/>
      <x:c r="K37" s="31"/>
      <x:c r="L37" s="31"/>
      <x:c r="M37" s="31"/>
      <x:c r="N37" s="31"/>
    </x:row>
    <x:row r="38" ht="15.75" customHeight="1">
      <x:c r="A38" s="31"/>
      <x:c r="B38" s="31"/>
      <x:c r="C38" s="31"/>
      <x:c r="D38" s="31"/>
      <x:c r="E38" s="31"/>
      <x:c r="F38" s="31"/>
      <x:c r="G38" s="31"/>
      <x:c r="H38" s="31"/>
      <x:c r="I38" s="31"/>
      <x:c r="J38" s="31"/>
      <x:c r="K38" s="31"/>
      <x:c r="L38" s="31"/>
      <x:c r="M38" s="31"/>
      <x:c r="N38" s="31"/>
    </x:row>
    <x:row r="39" ht="15.75" customHeight="1">
      <x:c r="A39" s="31"/>
      <x:c r="B39" s="31"/>
      <x:c r="C39" s="31"/>
      <x:c r="D39" s="31"/>
      <x:c r="E39" s="31"/>
      <x:c r="F39" s="31"/>
      <x:c r="G39" s="31"/>
      <x:c r="H39" s="31"/>
      <x:c r="I39" s="31"/>
      <x:c r="J39" s="31"/>
      <x:c r="K39" s="31"/>
      <x:c r="L39" s="31"/>
      <x:c r="M39" s="31"/>
      <x:c r="N39" s="31"/>
    </x:row>
    <x:row r="40" ht="15.75" customHeight="1">
      <x:c r="A40" s="31"/>
      <x:c r="B40" s="31"/>
      <x:c r="C40" s="31"/>
      <x:c r="D40" s="31"/>
      <x:c r="E40" s="31"/>
      <x:c r="F40" s="31"/>
      <x:c r="G40" s="31"/>
      <x:c r="H40" s="31"/>
      <x:c r="I40" s="31"/>
      <x:c r="J40" s="31"/>
      <x:c r="K40" s="31"/>
      <x:c r="L40" s="31"/>
      <x:c r="M40" s="31"/>
      <x:c r="N40" s="31"/>
    </x:row>
    <x:row r="41" ht="15.75" customHeight="1">
      <x:c r="A41" s="31"/>
      <x:c r="B41" s="31"/>
      <x:c r="C41" s="31"/>
      <x:c r="D41" s="31"/>
      <x:c r="E41" s="31"/>
      <x:c r="F41" s="31"/>
      <x:c r="G41" s="31"/>
      <x:c r="H41" s="31"/>
      <x:c r="I41" s="31"/>
      <x:c r="J41" s="31"/>
      <x:c r="K41" s="31"/>
      <x:c r="L41" s="31"/>
      <x:c r="M41" s="31"/>
      <x:c r="N41" s="31"/>
    </x:row>
    <x:row r="42" ht="15.75" customHeight="1">
      <x:c r="A42" s="31"/>
      <x:c r="B42" s="31"/>
      <x:c r="C42" s="31"/>
      <x:c r="D42" s="31"/>
      <x:c r="E42" s="31"/>
      <x:c r="F42" s="31"/>
      <x:c r="G42" s="31"/>
      <x:c r="H42" s="31"/>
      <x:c r="I42" s="31"/>
      <x:c r="J42" s="31"/>
      <x:c r="K42" s="31"/>
      <x:c r="L42" s="31"/>
      <x:c r="M42" s="31"/>
      <x:c r="N42" s="31"/>
    </x:row>
    <x:row r="43" ht="15.75" customHeight="1">
      <x:c r="A43" s="31"/>
      <x:c r="B43" s="31"/>
      <x:c r="C43" s="31"/>
      <x:c r="D43" s="31"/>
      <x:c r="E43" s="31"/>
      <x:c r="F43" s="31"/>
      <x:c r="G43" s="31"/>
      <x:c r="H43" s="31"/>
      <x:c r="I43" s="31"/>
      <x:c r="J43" s="31"/>
      <x:c r="K43" s="31"/>
      <x:c r="L43" s="31"/>
      <x:c r="M43" s="31"/>
      <x:c r="N43" s="31"/>
    </x:row>
    <x:row r="44" ht="15.75" customHeight="1">
      <x:c r="A44" s="31"/>
      <x:c r="B44" s="31"/>
      <x:c r="C44" s="31"/>
      <x:c r="D44" s="31"/>
      <x:c r="E44" s="31"/>
      <x:c r="F44" s="31"/>
      <x:c r="G44" s="31"/>
      <x:c r="H44" s="31"/>
      <x:c r="I44" s="31"/>
      <x:c r="J44" s="31"/>
      <x:c r="K44" s="31"/>
      <x:c r="L44" s="31"/>
      <x:c r="M44" s="31"/>
      <x:c r="N44" s="31"/>
    </x:row>
    <x:row r="45" ht="15.75" customHeight="1">
      <x:c r="A45" s="31"/>
      <x:c r="B45" s="31"/>
      <x:c r="C45" s="31"/>
      <x:c r="D45" s="31"/>
      <x:c r="E45" s="31"/>
      <x:c r="F45" s="31"/>
      <x:c r="G45" s="31"/>
      <x:c r="H45" s="31"/>
      <x:c r="I45" s="31"/>
      <x:c r="J45" s="31"/>
      <x:c r="K45" s="31"/>
      <x:c r="L45" s="31"/>
      <x:c r="M45" s="31"/>
      <x:c r="N45" s="31"/>
    </x:row>
    <x:row r="46" ht="15.75" customHeight="1">
      <x:c r="A46" s="31"/>
      <x:c r="B46" s="31"/>
      <x:c r="C46" s="31"/>
      <x:c r="D46" s="31"/>
      <x:c r="E46" s="31"/>
      <x:c r="F46" s="31"/>
      <x:c r="G46" s="31"/>
      <x:c r="H46" s="31"/>
      <x:c r="I46" s="31"/>
      <x:c r="J46" s="31"/>
      <x:c r="K46" s="31"/>
      <x:c r="L46" s="31"/>
      <x:c r="M46" s="31"/>
      <x:c r="N46" s="31"/>
    </x:row>
    <x:row r="47" ht="15.75" customHeight="1">
      <x:c r="A47" s="31"/>
      <x:c r="B47" s="31"/>
      <x:c r="C47" s="31"/>
      <x:c r="D47" s="31"/>
      <x:c r="E47" s="31"/>
      <x:c r="F47" s="31"/>
      <x:c r="G47" s="31"/>
      <x:c r="H47" s="31"/>
      <x:c r="I47" s="31"/>
      <x:c r="J47" s="31"/>
      <x:c r="K47" s="31"/>
      <x:c r="L47" s="31"/>
      <x:c r="M47" s="31"/>
      <x:c r="N47" s="31"/>
    </x:row>
    <x:row r="48" ht="15.75" customHeight="1">
      <x:c r="A48" s="31"/>
      <x:c r="B48" s="31"/>
      <x:c r="C48" s="31"/>
      <x:c r="D48" s="31"/>
      <x:c r="E48" s="31"/>
      <x:c r="F48" s="31"/>
      <x:c r="G48" s="31"/>
      <x:c r="H48" s="31"/>
      <x:c r="I48" s="31"/>
      <x:c r="J48" s="31"/>
      <x:c r="K48" s="31"/>
      <x:c r="L48" s="31"/>
      <x:c r="M48" s="31"/>
      <x:c r="N48" s="31"/>
    </x:row>
    <x:row r="49" ht="15.75" customHeight="1">
      <x:c r="A49" s="31"/>
      <x:c r="B49" s="31"/>
      <x:c r="C49" s="31"/>
      <x:c r="D49" s="31"/>
      <x:c r="E49" s="31"/>
      <x:c r="F49" s="31"/>
      <x:c r="G49" s="31"/>
      <x:c r="H49" s="31"/>
      <x:c r="I49" s="31"/>
      <x:c r="J49" s="31"/>
      <x:c r="K49" s="31"/>
      <x:c r="L49" s="31"/>
      <x:c r="M49" s="31"/>
      <x:c r="N49" s="31"/>
    </x:row>
    <x:row r="50" ht="15.75" customHeight="1">
      <x:c r="A50" s="31"/>
      <x:c r="B50" s="31"/>
      <x:c r="C50" s="31"/>
      <x:c r="D50" s="31"/>
      <x:c r="E50" s="31"/>
      <x:c r="F50" s="31"/>
      <x:c r="G50" s="31"/>
      <x:c r="H50" s="31"/>
      <x:c r="I50" s="31"/>
      <x:c r="J50" s="31"/>
      <x:c r="K50" s="31"/>
      <x:c r="L50" s="31"/>
      <x:c r="M50" s="31"/>
      <x:c r="N50" s="31"/>
    </x:row>
    <x:row r="51" ht="15.75" customHeight="1">
      <x:c r="A51" s="31"/>
      <x:c r="B51" s="31"/>
      <x:c r="C51" s="31"/>
      <x:c r="D51" s="31"/>
      <x:c r="E51" s="31"/>
      <x:c r="F51" s="31"/>
      <x:c r="G51" s="31"/>
      <x:c r="H51" s="31"/>
      <x:c r="I51" s="31"/>
      <x:c r="J51" s="31"/>
      <x:c r="K51" s="31"/>
      <x:c r="L51" s="31"/>
      <x:c r="M51" s="31"/>
      <x:c r="N51" s="31"/>
    </x:row>
    <x:row r="52" ht="15.75" customHeight="1">
      <x:c r="A52" s="31"/>
      <x:c r="B52" s="31"/>
      <x:c r="C52" s="31"/>
      <x:c r="D52" s="31"/>
      <x:c r="E52" s="31"/>
      <x:c r="F52" s="31"/>
      <x:c r="G52" s="31"/>
      <x:c r="H52" s="31"/>
      <x:c r="I52" s="31"/>
      <x:c r="J52" s="31"/>
      <x:c r="K52" s="31"/>
      <x:c r="L52" s="31"/>
      <x:c r="M52" s="31"/>
      <x:c r="N52" s="31"/>
    </x:row>
    <x:row r="53" ht="15.75" customHeight="1">
      <x:c r="A53" s="31"/>
      <x:c r="B53" s="31"/>
      <x:c r="C53" s="31"/>
      <x:c r="D53" s="31"/>
      <x:c r="E53" s="31"/>
      <x:c r="F53" s="31"/>
      <x:c r="G53" s="31"/>
      <x:c r="H53" s="31"/>
      <x:c r="I53" s="31"/>
      <x:c r="J53" s="31"/>
      <x:c r="K53" s="31"/>
      <x:c r="L53" s="31"/>
      <x:c r="M53" s="31"/>
      <x:c r="N53" s="31"/>
    </x:row>
    <x:row r="54" ht="15.75" customHeight="1">
      <x:c r="A54" s="31"/>
      <x:c r="B54" s="31"/>
      <x:c r="C54" s="31"/>
      <x:c r="D54" s="31"/>
      <x:c r="E54" s="31"/>
      <x:c r="F54" s="31"/>
      <x:c r="G54" s="31"/>
      <x:c r="H54" s="31"/>
      <x:c r="I54" s="31"/>
      <x:c r="J54" s="31"/>
      <x:c r="K54" s="31"/>
      <x:c r="L54" s="31"/>
      <x:c r="M54" s="31"/>
      <x:c r="N54" s="31"/>
    </x:row>
    <x:row r="55" ht="15.75" customHeight="1">
      <x:c r="A55" s="31"/>
      <x:c r="B55" s="31"/>
      <x:c r="C55" s="31"/>
      <x:c r="D55" s="31"/>
      <x:c r="E55" s="31"/>
      <x:c r="F55" s="31"/>
      <x:c r="G55" s="31"/>
      <x:c r="H55" s="31"/>
      <x:c r="I55" s="31"/>
      <x:c r="J55" s="31"/>
      <x:c r="K55" s="31"/>
      <x:c r="L55" s="31"/>
      <x:c r="M55" s="31"/>
      <x:c r="N55" s="31"/>
    </x:row>
    <x:row r="56" ht="15.75" customHeight="1">
      <x:c r="A56" s="31"/>
      <x:c r="B56" s="31"/>
      <x:c r="C56" s="31"/>
      <x:c r="D56" s="31"/>
      <x:c r="E56" s="31"/>
      <x:c r="F56" s="31"/>
      <x:c r="G56" s="31"/>
      <x:c r="H56" s="31"/>
      <x:c r="I56" s="31"/>
      <x:c r="J56" s="31"/>
      <x:c r="K56" s="31"/>
      <x:c r="L56" s="31"/>
      <x:c r="M56" s="31"/>
      <x:c r="N56" s="31"/>
    </x:row>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s>
  <x:pageMargins left="0.7" right="0.7" top="0.75" bottom="0.75" header="0.3" footer="0.3"/>
  <x:drawing xmlns:r="http://schemas.openxmlformats.org/officeDocument/2006/relationships" r:id="R9bcb1bef32514663"/>
</x:worksheet>
</file>

<file path=xl/worksheets/sheet3.xml><?xml version="1.0" encoding="utf-8"?>
<x:worksheet xmlns:x="http://schemas.openxmlformats.org/spreadsheetml/2006/main">
  <x:sheetFormatPr defaultColWidth="12.630000114440918" defaultRowHeight="15"/>
  <x:cols>
    <x:col min="1" max="1" width="22" customWidth="1"/>
    <x:col min="2" max="2" width="115" customWidth="1"/>
    <x:col min="3" max="26" width="8.630000114440918" customWidth="1"/>
  </x:cols>
  <x:sheetData>
    <x:row r="1">
      <x:c r="A1" s="36" t="s">
        <x:v>64</x:v>
      </x:c>
      <x:c r="B1" s="36"/>
    </x:row>
    <x:row r="2">
      <x:c r="A2" s="37" t="s">
        <x:v>65</x:v>
      </x:c>
      <x:c r="B2" s="38"/>
    </x:row>
    <x:row r="3">
      <x:c r="A3" s="37" t="s">
        <x:v>66</x:v>
      </x:c>
      <x:c r="B3" s="31" t="s">
        <x:v>67</x:v>
      </x:c>
    </x:row>
    <x:row r="4">
      <x:c r="A4" s="37" t="s">
        <x:v>68</x:v>
      </x:c>
      <x:c r="B4" s="31" t="s">
        <x:v>69</x:v>
      </x:c>
    </x:row>
    <x:row r="5">
      <x:c r="A5" s="37" t="s">
        <x:v>70</x:v>
      </x:c>
      <x:c r="B5" s="31" t="s">
        <x:v>71</x:v>
      </x:c>
    </x:row>
    <x:row r="6">
      <x:c r="A6" s="37" t="s">
        <x:v>72</x:v>
      </x:c>
      <x:c r="B6" s="31" t="s">
        <x:v>73</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2" width="18" customWidth="1"/>
    <x:col min="3" max="26" width="8.630000114440918" customWidth="1"/>
  </x:cols>
  <x:sheetData>
    <x:row r="1">
      <x:c r="A1" s="1" t="s">
        <x:v>74</x:v>
      </x:c>
      <x:c r="B1" s="1" t="s">
        <x:v>75</x:v>
      </x:c>
    </x:row>
    <x:row r="2">
      <x:c r="A2" s="39">
        <x:v>28.0</x:v>
      </x:c>
      <x:c r="B2" s="39" t="s">
        <x:v>33</x:v>
      </x:c>
    </x:row>
    <x:row r="3">
      <x:c r="A3" s="39">
        <x:v>12.0</x:v>
      </x:c>
      <x:c r="B3" s="39" t="s">
        <x:v>35</x:v>
      </x:c>
    </x:row>
    <x:row r="4">
      <x:c r="A4" s="39">
        <x:v>16.0</x:v>
      </x:c>
      <x:c r="B4" s="39" t="s">
        <x:v>37</x:v>
      </x:c>
    </x:row>
    <x:row r="5">
      <x:c r="A5" s="39">
        <x:v>35.0</x:v>
      </x:c>
      <x:c r="B5" s="39" t="s">
        <x:v>39</x:v>
      </x:c>
    </x:row>
    <x:row r="6">
      <x:c r="A6" s="39">
        <x:v>80.0</x:v>
      </x:c>
      <x:c r="B6" s="39" t="s">
        <x:v>41</x:v>
      </x:c>
    </x:row>
    <x:row r="7">
      <x:c r="A7" s="39">
        <x:v>99.0</x:v>
      </x:c>
      <x:c r="B7" s="39" t="s">
        <x:v>43</x:v>
      </x:c>
    </x:row>
    <x:row r="8">
      <x:c r="A8" s="39">
        <x:v>18.0</x:v>
      </x:c>
      <x:c r="B8" s="39" t="s">
        <x:v>44</x:v>
      </x:c>
    </x:row>
    <x:row r="9">
      <x:c r="A9" s="39">
        <x:v>10751.0</x:v>
      </x:c>
      <x:c r="B9" s="39" t="s">
        <x:v>45</x:v>
      </x:c>
    </x:row>
    <x:row r="10">
      <x:c r="A10" s="39">
        <x:v>14.0</x:v>
      </x:c>
      <x:c r="B10" s="39" t="s">
        <x:v>47</x:v>
      </x:c>
    </x:row>
    <x:row r="11">
      <x:c r="A11" s="39">
        <x:v>36.0</x:v>
      </x:c>
      <x:c r="B11" s="39" t="s">
        <x:v>48</x:v>
      </x:c>
    </x:row>
    <x:row r="12">
      <x:c r="A12" s="39">
        <x:v>27.0</x:v>
      </x:c>
      <x:c r="B12" s="39" t="s">
        <x:v>21</x:v>
      </x:c>
    </x:row>
    <x:row r="13">
      <x:c r="A13" s="39">
        <x:v>10402.0</x:v>
      </x:c>
      <x:c r="B13" s="39" t="s">
        <x:v>49</x:v>
      </x:c>
    </x:row>
    <x:row r="14">
      <x:c r="A14" s="39">
        <x:v>9648.0</x:v>
      </x:c>
      <x:c r="B14" s="39" t="s">
        <x:v>50</x:v>
      </x:c>
    </x:row>
    <x:row r="15">
      <x:c r="A15" s="39">
        <x:v>10749.0</x:v>
      </x:c>
      <x:c r="B15" s="39" t="s">
        <x:v>51</x:v>
      </x:c>
    </x:row>
    <x:row r="16">
      <x:c r="A16" s="39">
        <x:v>878.0</x:v>
      </x:c>
      <x:c r="B16" s="39" t="s">
        <x:v>53</x:v>
      </x:c>
    </x:row>
    <x:row r="17">
      <x:c r="A17" s="39">
        <x:v>10770.0</x:v>
      </x:c>
      <x:c r="B17" s="39" t="s">
        <x:v>54</x:v>
      </x:c>
    </x:row>
    <x:row r="18">
      <x:c r="A18" s="39">
        <x:v>53.0</x:v>
      </x:c>
      <x:c r="B18" s="39" t="s">
        <x:v>55</x:v>
      </x:c>
    </x:row>
    <x:row r="19">
      <x:c r="A19" s="39">
        <x:v>10752.0</x:v>
      </x:c>
      <x:c r="B19" s="39" t="s">
        <x:v>56</x:v>
      </x:c>
    </x:row>
    <x:row r="20">
      <x:c r="A20" s="39">
        <x:v>37.0</x:v>
      </x:c>
      <x:c r="B20" s="39" t="s">
        <x:v>57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95670e8fc4674109"/>
  </x:tableParts>
</x:worksheet>
</file>

<file path=xl/worksheets/sheet5.xml><?xml version="1.0" encoding="utf-8"?>
<x:worksheet xmlns:x="http://schemas.openxmlformats.org/spreadsheetml/2006/main">
  <x:sheetFormatPr defaultColWidth="12.630000114440918" defaultRowHeight="15"/>
  <x:cols>
    <x:col min="1" max="1" width="28.5" customWidth="1"/>
    <x:col min="2" max="2" width="30.1299991607666" customWidth="1"/>
    <x:col min="3" max="3" width="5" customWidth="1"/>
    <x:col min="4" max="4" width="10.380000114440918" customWidth="1"/>
    <x:col min="5" max="5" width="12.380000114440918" customWidth="1"/>
    <x:col min="6" max="6" width="8" customWidth="1"/>
    <x:col min="7" max="7" width="12.380000114440918" customWidth="1"/>
    <x:col min="8" max="8" width="24.1299991607666" customWidth="1"/>
    <x:col min="9" max="9" width="16.1299991607666" customWidth="1"/>
    <x:col min="10" max="10" width="9.380000114440918" customWidth="1"/>
    <x:col min="11" max="11" width="11.130000114440918" customWidth="1"/>
    <x:col min="12" max="12" width="10.5" customWidth="1"/>
    <x:col min="13" max="13" width="42.5" customWidth="1"/>
    <x:col min="14" max="14" width="11.5" customWidth="1"/>
    <x:col min="15" max="15" width="12.380000114440918" customWidth="1"/>
    <x:col min="16" max="16" width="13.5" customWidth="1"/>
    <x:col min="17" max="17" width="34.880001068115234" customWidth="1"/>
    <x:col min="18" max="18" width="27.6299991607666" customWidth="1"/>
    <x:col min="19" max="19" width="11.630000114440918" customWidth="1"/>
    <x:col min="20" max="26" width="8.630000114440918" customWidth="1"/>
  </x:cols>
  <x:sheetData>
    <x:row r="1">
      <x:c r="A1" s="40" t="s">
        <x:v>0</x:v>
      </x:c>
      <x:c r="B1" s="40" t="s">
        <x:v>1</x:v>
      </x:c>
      <x:c r="C1" s="40" t="s">
        <x:v>2</x:v>
      </x:c>
      <x:c r="D1" s="40" t="s">
        <x:v>3</x:v>
      </x:c>
      <x:c r="E1" s="40" t="s">
        <x:v>4</x:v>
      </x:c>
      <x:c r="F1" s="40" t="s">
        <x:v>5</x:v>
      </x:c>
      <x:c r="G1" s="40" t="s">
        <x:v>6</x:v>
      </x:c>
      <x:c r="H1" s="40" t="s">
        <x:v>7</x:v>
      </x:c>
      <x:c r="I1" s="40" t="s">
        <x:v>8</x:v>
      </x:c>
      <x:c r="J1" s="40" t="s">
        <x:v>9</x:v>
      </x:c>
      <x:c r="K1" s="40" t="s">
        <x:v>10</x:v>
      </x:c>
      <x:c r="L1" s="40" t="s">
        <x:v>11</x:v>
      </x:c>
      <x:c r="M1" s="40" t="s">
        <x:v>12</x:v>
      </x:c>
      <x:c r="N1" s="40" t="s">
        <x:v>13</x:v>
      </x:c>
      <x:c r="O1" s="40" t="s">
        <x:v>14</x:v>
      </x:c>
      <x:c r="P1" s="40" t="s">
        <x:v>15</x:v>
      </x:c>
      <x:c r="Q1" s="40" t="s">
        <x:v>16</x:v>
      </x:c>
      <x:c r="R1" s="40" t="s">
        <x:v>17</x:v>
      </x:c>
      <x:c r="S1" s="40" t="s">
        <x:v>18</x:v>
      </x:c>
    </x:row>
    <x:row r="2" ht="72" customHeight="1">
      <x:c r="A2" s="2" t="s">
        <x:v>76</x:v>
      </x:c>
      <x:c r="B2" s="2" t="s">
        <x:v>77</x:v>
      </x:c>
      <x:c r="C2" s="3">
        <x:v>2008.0</x:v>
      </x:c>
      <x:c r="D2" s="2" t="s">
        <x:v>20</x:v>
      </x:c>
      <x:c r="E2" s="4">
        <x:v>7840.0</x:v>
      </x:c>
      <x:c r="F2" s="3">
        <x:v>5.503</x:v>
      </x:c>
      <x:c r="G2" s="5" t="s">
        <x:v>78</x:v>
      </x:c>
      <x:c r="H2" s="2" t="s">
        <x:v>79</x:v>
      </x:c>
      <x:c r="I2" s="6" t="s">
        <x:v>80</x:v>
      </x:c>
      <x:c r="J2" s="2"/>
      <x:c r="K2" s="3"/>
      <x:c r="L2" s="10"/>
      <x:c r="M2" s="2"/>
      <x:c r="N2" s="2"/>
      <x:c r="O2" s="2"/>
      <x:c r="P2" s="9"/>
      <x:c r="Q2" s="2"/>
      <x:c r="R2" s="2"/>
      <x:c r="S2" s="10"/>
    </x:row>
    <x:row r="3" ht="72" customHeight="1">
      <x:c r="A3" s="2"/>
      <x:c r="B3" s="2"/>
      <x:c r="C3" s="3"/>
      <x:c r="D3" s="2"/>
      <x:c r="E3" s="4"/>
      <x:c r="F3" s="3"/>
      <x:c r="G3" s="5"/>
      <x:c r="H3" s="2"/>
      <x:c r="I3" s="2"/>
      <x:c r="J3" s="2"/>
      <x:c r="K3" s="3"/>
      <x:c r="L3" s="10"/>
      <x:c r="M3" s="2"/>
      <x:c r="N3" s="2"/>
      <x:c r="O3" s="2"/>
      <x:c r="P3" s="9"/>
      <x:c r="Q3" s="2"/>
      <x:c r="R3" s="2"/>
      <x:c r="S3" s="10"/>
    </x:row>
    <x:row r="4" ht="72" customHeight="1">
      <x:c r="A4" s="2"/>
      <x:c r="B4" s="2"/>
      <x:c r="C4" s="3"/>
      <x:c r="D4" s="2"/>
      <x:c r="E4" s="4"/>
      <x:c r="F4" s="3"/>
      <x:c r="G4" s="5"/>
      <x:c r="H4" s="2"/>
      <x:c r="I4" s="2"/>
      <x:c r="J4" s="2"/>
      <x:c r="K4" s="3"/>
      <x:c r="L4" s="10"/>
      <x:c r="M4" s="2"/>
      <x:c r="N4" s="2"/>
      <x:c r="O4" s="2"/>
      <x:c r="P4" s="9"/>
      <x:c r="Q4" s="2"/>
      <x:c r="R4" s="2"/>
      <x:c r="S4" s="10"/>
    </x:row>
    <x:row r="5" ht="72" customHeight="1">
      <x:c r="A5" s="2"/>
      <x:c r="B5" s="2"/>
      <x:c r="C5" s="3"/>
      <x:c r="D5" s="2"/>
      <x:c r="E5" s="4"/>
      <x:c r="F5" s="3"/>
      <x:c r="G5" s="5"/>
      <x:c r="H5" s="2"/>
      <x:c r="I5" s="2"/>
      <x:c r="J5" s="2"/>
      <x:c r="K5" s="3"/>
      <x:c r="L5" s="10"/>
      <x:c r="M5" s="2"/>
      <x:c r="N5" s="2"/>
      <x:c r="O5" s="2"/>
      <x:c r="P5" s="9"/>
      <x:c r="Q5" s="2"/>
      <x:c r="R5" s="2"/>
      <x:c r="S5" s="10"/>
    </x:row>
    <x:row r="6" ht="72" customHeight="1">
      <x:c r="A6" s="2"/>
      <x:c r="B6" s="2"/>
      <x:c r="C6" s="3"/>
      <x:c r="D6" s="2"/>
      <x:c r="E6" s="4"/>
      <x:c r="F6" s="3"/>
      <x:c r="G6" s="5"/>
      <x:c r="H6" s="2"/>
      <x:c r="I6" s="2"/>
      <x:c r="J6" s="2"/>
      <x:c r="K6" s="3"/>
      <x:c r="L6" s="10"/>
      <x:c r="M6" s="2"/>
      <x:c r="N6" s="2"/>
      <x:c r="O6" s="2"/>
      <x:c r="P6" s="9"/>
      <x:c r="Q6" s="2"/>
      <x:c r="R6" s="2"/>
      <x:c r="S6" s="10"/>
    </x:row>
    <x:row r="7" ht="72" customHeight="1">
      <x:c r="A7" s="2"/>
      <x:c r="B7" s="2"/>
      <x:c r="C7" s="3"/>
      <x:c r="D7" s="2"/>
      <x:c r="E7" s="4"/>
      <x:c r="F7" s="3"/>
      <x:c r="G7" s="5"/>
      <x:c r="H7" s="2"/>
      <x:c r="I7" s="2"/>
      <x:c r="J7" s="2"/>
      <x:c r="K7" s="3"/>
      <x:c r="L7" s="10"/>
      <x:c r="M7" s="2"/>
      <x:c r="N7" s="2"/>
      <x:c r="O7" s="2"/>
      <x:c r="P7" s="9"/>
      <x:c r="Q7" s="2"/>
      <x:c r="R7" s="2"/>
      <x:c r="S7" s="10"/>
    </x:row>
    <x:row r="8" ht="72" customHeight="1">
      <x:c r="A8" s="2"/>
      <x:c r="B8" s="3"/>
      <x:c r="C8" s="3"/>
      <x:c r="D8" s="2"/>
      <x:c r="E8" s="4"/>
      <x:c r="F8" s="3"/>
      <x:c r="G8" s="5"/>
      <x:c r="H8" s="2"/>
      <x:c r="I8" s="2"/>
      <x:c r="J8" s="2"/>
      <x:c r="K8" s="3"/>
      <x:c r="L8" s="10"/>
      <x:c r="M8" s="2"/>
      <x:c r="N8" s="2"/>
      <x:c r="O8" s="2"/>
      <x:c r="P8" s="9"/>
      <x:c r="Q8" s="2"/>
      <x:c r="R8" s="2"/>
      <x:c r="S8" s="10"/>
    </x:row>
    <x:row r="9" ht="72" customHeight="1">
      <x:c r="A9" s="2"/>
      <x:c r="B9" s="2"/>
      <x:c r="C9" s="3"/>
      <x:c r="D9" s="2"/>
      <x:c r="E9" s="4"/>
      <x:c r="F9" s="3"/>
      <x:c r="G9" s="5"/>
      <x:c r="H9" s="2"/>
      <x:c r="I9" s="2"/>
      <x:c r="J9" s="2"/>
      <x:c r="K9" s="3"/>
      <x:c r="L9" s="10"/>
      <x:c r="M9" s="2"/>
      <x:c r="N9" s="2"/>
      <x:c r="O9" s="2"/>
      <x:c r="P9" s="9"/>
      <x:c r="Q9" s="2"/>
      <x:c r="R9" s="2"/>
      <x:c r="S9" s="10"/>
    </x:row>
    <x:row r="10" ht="72" customHeight="1">
      <x:c r="A10" s="2"/>
      <x:c r="B10" s="2"/>
      <x:c r="C10" s="3"/>
      <x:c r="D10" s="2"/>
      <x:c r="E10" s="4"/>
      <x:c r="F10" s="3"/>
      <x:c r="G10" s="5"/>
      <x:c r="H10" s="2"/>
      <x:c r="I10" s="2"/>
      <x:c r="J10" s="2"/>
      <x:c r="K10" s="3"/>
      <x:c r="L10" s="10"/>
      <x:c r="M10" s="2"/>
      <x:c r="N10" s="2"/>
      <x:c r="O10" s="2"/>
      <x:c r="P10" s="9"/>
      <x:c r="Q10" s="2"/>
      <x:c r="R10" s="2"/>
      <x:c r="S10" s="10"/>
    </x:row>
    <x:row r="11" ht="72" customHeight="1">
      <x:c r="A11" s="2"/>
      <x:c r="B11" s="2"/>
      <x:c r="C11" s="3"/>
      <x:c r="D11" s="2"/>
      <x:c r="E11" s="4"/>
      <x:c r="F11" s="3"/>
      <x:c r="G11" s="5"/>
      <x:c r="H11" s="2"/>
      <x:c r="I11" s="2"/>
      <x:c r="J11" s="2"/>
      <x:c r="K11" s="3"/>
      <x:c r="L11" s="10"/>
      <x:c r="M11" s="2"/>
      <x:c r="N11" s="2"/>
      <x:c r="O11" s="2"/>
      <x:c r="P11" s="9"/>
      <x:c r="Q11" s="2"/>
      <x:c r="R11" s="2"/>
      <x:c r="S11" s="10"/>
    </x:row>
    <x:row r="12" ht="72" customHeight="1">
      <x:c r="A12" s="2"/>
      <x:c r="B12" s="2"/>
      <x:c r="C12" s="3"/>
      <x:c r="D12" s="2"/>
      <x:c r="E12" s="4"/>
      <x:c r="F12" s="3"/>
      <x:c r="G12" s="5"/>
      <x:c r="H12" s="2"/>
      <x:c r="I12" s="2"/>
      <x:c r="J12" s="2"/>
      <x:c r="K12" s="3"/>
      <x:c r="L12" s="10"/>
      <x:c r="M12" s="2"/>
      <x:c r="N12" s="2"/>
      <x:c r="O12" s="2"/>
      <x:c r="P12" s="9"/>
      <x:c r="Q12" s="2"/>
      <x:c r="R12" s="2"/>
      <x:c r="S12" s="10"/>
    </x:row>
    <x:row r="13" ht="72" customHeight="1">
      <x:c r="A13" s="2"/>
      <x:c r="B13" s="2"/>
      <x:c r="C13" s="3"/>
      <x:c r="D13" s="2"/>
      <x:c r="E13" s="4"/>
      <x:c r="F13" s="3"/>
      <x:c r="G13" s="5"/>
      <x:c r="H13" s="2"/>
      <x:c r="I13" s="2"/>
      <x:c r="J13" s="2"/>
      <x:c r="K13" s="3"/>
      <x:c r="L13" s="10"/>
      <x:c r="M13" s="2"/>
      <x:c r="N13" s="2"/>
      <x:c r="O13" s="2"/>
      <x:c r="P13" s="9"/>
      <x:c r="Q13" s="2"/>
      <x:c r="R13" s="2"/>
      <x:c r="S13" s="10"/>
    </x:row>
    <x:row r="14" ht="72" customHeight="1">
      <x:c r="A14" s="2"/>
      <x:c r="B14" s="2"/>
      <x:c r="C14" s="3"/>
      <x:c r="D14" s="2"/>
      <x:c r="E14" s="4"/>
      <x:c r="F14" s="3"/>
      <x:c r="G14" s="5"/>
      <x:c r="H14" s="2"/>
      <x:c r="I14" s="2"/>
      <x:c r="J14" s="2"/>
      <x:c r="K14" s="3"/>
      <x:c r="L14" s="10"/>
      <x:c r="M14" s="2"/>
      <x:c r="N14" s="2"/>
      <x:c r="O14" s="2"/>
      <x:c r="P14" s="9"/>
      <x:c r="Q14" s="2"/>
      <x:c r="R14" s="2"/>
      <x:c r="S14" s="10"/>
    </x:row>
    <x:row r="15" ht="72" customHeight="1">
      <x:c r="A15" s="2"/>
      <x:c r="B15" s="2"/>
      <x:c r="C15" s="3"/>
      <x:c r="D15" s="2"/>
      <x:c r="E15" s="4"/>
      <x:c r="F15" s="3"/>
      <x:c r="G15" s="5"/>
      <x:c r="H15" s="2"/>
      <x:c r="I15" s="2"/>
      <x:c r="J15" s="2"/>
      <x:c r="K15" s="3"/>
      <x:c r="L15" s="10"/>
      <x:c r="M15" s="2"/>
      <x:c r="N15" s="2"/>
      <x:c r="O15" s="2"/>
      <x:c r="P15" s="9"/>
      <x:c r="Q15" s="2"/>
      <x:c r="R15" s="2"/>
      <x:c r="S15" s="10"/>
    </x:row>
    <x:row r="16" ht="72" customHeight="1">
      <x:c r="A16" s="2"/>
      <x:c r="B16" s="2"/>
      <x:c r="C16" s="3"/>
      <x:c r="D16" s="2"/>
      <x:c r="E16" s="4"/>
      <x:c r="F16" s="3"/>
      <x:c r="G16" s="5"/>
      <x:c r="H16" s="2"/>
      <x:c r="I16" s="2"/>
      <x:c r="J16" s="2"/>
      <x:c r="K16" s="3"/>
      <x:c r="L16" s="10"/>
      <x:c r="M16" s="2"/>
      <x:c r="N16" s="2"/>
      <x:c r="O16" s="2"/>
      <x:c r="P16" s="9"/>
      <x:c r="Q16" s="2"/>
      <x:c r="R16" s="2"/>
      <x:c r="S16" s="10"/>
    </x:row>
    <x:row r="17" ht="72" customHeight="1">
      <x:c r="A17" s="2"/>
      <x:c r="B17" s="2"/>
      <x:c r="C17" s="3"/>
      <x:c r="D17" s="2"/>
      <x:c r="E17" s="4"/>
      <x:c r="F17" s="3"/>
      <x:c r="G17" s="5"/>
      <x:c r="H17" s="2"/>
      <x:c r="I17" s="2"/>
      <x:c r="J17" s="2"/>
      <x:c r="K17" s="3"/>
      <x:c r="L17" s="10"/>
      <x:c r="M17" s="2"/>
      <x:c r="N17" s="2"/>
      <x:c r="O17" s="2"/>
      <x:c r="P17" s="9"/>
      <x:c r="Q17" s="2"/>
      <x:c r="R17" s="2"/>
      <x:c r="S17" s="10"/>
    </x:row>
    <x:row r="18" ht="72" customHeight="1">
      <x:c r="A18" s="2"/>
      <x:c r="B18" s="2"/>
      <x:c r="C18" s="3"/>
      <x:c r="D18" s="2"/>
      <x:c r="E18" s="4"/>
      <x:c r="F18" s="3"/>
      <x:c r="G18" s="5"/>
      <x:c r="H18" s="2"/>
      <x:c r="I18" s="2"/>
      <x:c r="J18" s="2"/>
      <x:c r="K18" s="3"/>
      <x:c r="L18" s="10"/>
      <x:c r="M18" s="2"/>
      <x:c r="N18" s="2"/>
      <x:c r="O18" s="2"/>
      <x:c r="P18" s="9"/>
      <x:c r="Q18" s="2"/>
      <x:c r="R18" s="2"/>
      <x:c r="S18" s="10"/>
    </x:row>
    <x:row r="19" ht="72" customHeight="1">
      <x:c r="A19" s="2"/>
      <x:c r="B19" s="2"/>
      <x:c r="C19" s="3"/>
      <x:c r="D19" s="2"/>
      <x:c r="E19" s="4"/>
      <x:c r="F19" s="3"/>
      <x:c r="G19" s="5"/>
      <x:c r="H19" s="2"/>
      <x:c r="I19" s="2"/>
      <x:c r="J19" s="2"/>
      <x:c r="K19" s="3"/>
      <x:c r="L19" s="10"/>
      <x:c r="M19" s="2"/>
      <x:c r="N19" s="2"/>
      <x:c r="O19" s="2"/>
      <x:c r="P19" s="9"/>
      <x:c r="Q19" s="2"/>
      <x:c r="R19" s="2"/>
      <x:c r="S19" s="10"/>
    </x:row>
    <x:row r="20" ht="72" customHeight="1">
      <x:c r="A20" s="2"/>
      <x:c r="B20" s="2"/>
      <x:c r="C20" s="3"/>
      <x:c r="D20" s="2"/>
      <x:c r="E20" s="4"/>
      <x:c r="F20" s="3"/>
      <x:c r="G20" s="5"/>
      <x:c r="H20" s="2"/>
      <x:c r="I20" s="2"/>
      <x:c r="J20" s="2"/>
      <x:c r="K20" s="3"/>
      <x:c r="L20" s="10"/>
      <x:c r="M20" s="2"/>
      <x:c r="N20" s="2"/>
      <x:c r="O20" s="2"/>
      <x:c r="P20" s="9"/>
      <x:c r="Q20" s="2"/>
      <x:c r="R20" s="2"/>
      <x:c r="S20" s="10"/>
    </x:row>
    <x:row r="21" ht="72" customHeight="1">
      <x:c r="A21" s="2"/>
      <x:c r="B21" s="2"/>
      <x:c r="C21" s="3"/>
      <x:c r="D21" s="2"/>
      <x:c r="E21" s="4"/>
      <x:c r="F21" s="3"/>
      <x:c r="G21" s="5"/>
      <x:c r="H21" s="2"/>
      <x:c r="I21" s="2"/>
      <x:c r="J21" s="2"/>
      <x:c r="K21" s="3"/>
      <x:c r="L21" s="10"/>
      <x:c r="M21" s="2"/>
      <x:c r="N21" s="2"/>
      <x:c r="O21" s="2"/>
      <x:c r="P21" s="9"/>
      <x:c r="Q21" s="2"/>
      <x:c r="R21" s="2"/>
      <x:c r="S21" s="10"/>
    </x:row>
    <x:row r="22" ht="72" customHeight="1">
      <x:c r="A22" s="2"/>
      <x:c r="B22" s="2"/>
      <x:c r="C22" s="3"/>
      <x:c r="D22" s="2"/>
      <x:c r="E22" s="4"/>
      <x:c r="F22" s="3"/>
      <x:c r="G22" s="5"/>
      <x:c r="H22" s="2"/>
      <x:c r="I22" s="2"/>
      <x:c r="J22" s="2"/>
      <x:c r="K22" s="3"/>
      <x:c r="L22" s="10"/>
      <x:c r="M22" s="2"/>
      <x:c r="N22" s="2"/>
      <x:c r="O22" s="2"/>
      <x:c r="P22" s="9"/>
      <x:c r="Q22" s="2"/>
      <x:c r="R22" s="2"/>
      <x:c r="S22" s="10"/>
    </x:row>
    <x:row r="23" ht="72" customHeight="1">
      <x:c r="A23" s="2"/>
      <x:c r="B23" s="2"/>
      <x:c r="C23" s="3"/>
      <x:c r="D23" s="2"/>
      <x:c r="E23" s="4"/>
      <x:c r="F23" s="3"/>
      <x:c r="G23" s="5"/>
      <x:c r="H23" s="2"/>
      <x:c r="I23" s="2"/>
      <x:c r="J23" s="2"/>
      <x:c r="K23" s="3"/>
      <x:c r="L23" s="10"/>
      <x:c r="M23" s="2"/>
      <x:c r="N23" s="2"/>
      <x:c r="O23" s="2"/>
      <x:c r="P23" s="9"/>
      <x:c r="Q23" s="2"/>
      <x:c r="R23" s="2"/>
      <x:c r="S23" s="10"/>
    </x:row>
    <x:row r="24" ht="72" customHeight="1">
      <x:c r="A24" s="2"/>
      <x:c r="B24" s="2"/>
      <x:c r="C24" s="3"/>
      <x:c r="D24" s="2"/>
      <x:c r="E24" s="4"/>
      <x:c r="F24" s="3"/>
      <x:c r="G24" s="5"/>
      <x:c r="H24" s="2"/>
      <x:c r="I24" s="2"/>
      <x:c r="J24" s="2"/>
      <x:c r="K24" s="3"/>
      <x:c r="L24" s="10"/>
      <x:c r="M24" s="2"/>
      <x:c r="N24" s="2"/>
      <x:c r="O24" s="2"/>
      <x:c r="P24" s="9"/>
      <x:c r="Q24" s="2"/>
      <x:c r="R24" s="2"/>
      <x:c r="S24" s="10"/>
    </x:row>
    <x:row r="25" ht="72" customHeight="1">
      <x:c r="A25" s="2"/>
      <x:c r="B25" s="2"/>
      <x:c r="C25" s="3"/>
      <x:c r="D25" s="2"/>
      <x:c r="E25" s="4"/>
      <x:c r="F25" s="3"/>
      <x:c r="G25" s="5"/>
      <x:c r="H25" s="2"/>
      <x:c r="I25" s="2"/>
      <x:c r="J25" s="2"/>
      <x:c r="K25" s="3"/>
      <x:c r="L25" s="10"/>
      <x:c r="M25" s="2"/>
      <x:c r="N25" s="2"/>
      <x:c r="O25" s="2"/>
      <x:c r="P25" s="9"/>
      <x:c r="Q25" s="2"/>
      <x:c r="R25" s="2"/>
      <x:c r="S25" s="10"/>
    </x:row>
    <x:row r="26" ht="72" customHeight="1">
      <x:c r="A26" s="2"/>
      <x:c r="B26" s="2"/>
      <x:c r="C26" s="3"/>
      <x:c r="D26" s="2"/>
      <x:c r="E26" s="4"/>
      <x:c r="F26" s="3"/>
      <x:c r="G26" s="11"/>
      <x:c r="H26" s="2"/>
      <x:c r="I26" s="2"/>
      <x:c r="J26" s="2"/>
      <x:c r="K26" s="3"/>
      <x:c r="L26" s="10"/>
      <x:c r="M26" s="2"/>
      <x:c r="N26" s="2"/>
      <x:c r="O26" s="2"/>
      <x:c r="P26" s="9"/>
      <x:c r="Q26" s="2"/>
      <x:c r="R26" s="2"/>
      <x:c r="S26" s="10"/>
    </x:row>
    <x:row r="27" ht="72" customHeight="1">
      <x:c r="A27" s="2"/>
      <x:c r="B27" s="2"/>
      <x:c r="C27" s="3"/>
      <x:c r="D27" s="2"/>
      <x:c r="E27" s="4"/>
      <x:c r="F27" s="3"/>
      <x:c r="G27" s="5"/>
      <x:c r="H27" s="2"/>
      <x:c r="I27" s="2"/>
      <x:c r="J27" s="2"/>
      <x:c r="K27" s="3"/>
      <x:c r="L27" s="10"/>
      <x:c r="M27" s="2"/>
      <x:c r="N27" s="2"/>
      <x:c r="O27" s="2"/>
      <x:c r="P27" s="9"/>
      <x:c r="Q27" s="2"/>
      <x:c r="R27" s="2"/>
      <x:c r="S27" s="10"/>
    </x:row>
    <x:row r="28" ht="72" customHeight="1">
      <x:c r="A28" s="2"/>
      <x:c r="B28" s="2"/>
      <x:c r="C28" s="3"/>
      <x:c r="D28" s="2"/>
      <x:c r="E28" s="4"/>
      <x:c r="F28" s="3"/>
      <x:c r="G28" s="5"/>
      <x:c r="H28" s="2"/>
      <x:c r="I28" s="2"/>
      <x:c r="J28" s="2"/>
      <x:c r="K28" s="3"/>
      <x:c r="L28" s="10"/>
      <x:c r="M28" s="2"/>
      <x:c r="N28" s="2"/>
      <x:c r="O28" s="2"/>
      <x:c r="P28" s="9"/>
      <x:c r="Q28" s="2"/>
      <x:c r="R28" s="2"/>
      <x:c r="S28" s="10"/>
    </x:row>
    <x:row r="29" ht="72" customHeight="1">
      <x:c r="A29" s="2"/>
      <x:c r="B29" s="2"/>
      <x:c r="C29" s="3"/>
      <x:c r="D29" s="2"/>
      <x:c r="E29" s="4"/>
      <x:c r="F29" s="3"/>
      <x:c r="G29" s="5"/>
      <x:c r="H29" s="2"/>
      <x:c r="I29" s="2"/>
      <x:c r="J29" s="2"/>
      <x:c r="K29" s="3"/>
      <x:c r="L29" s="10"/>
      <x:c r="M29" s="2"/>
      <x:c r="N29" s="2"/>
      <x:c r="O29" s="2"/>
      <x:c r="P29" s="9"/>
      <x:c r="Q29" s="2"/>
      <x:c r="R29" s="2"/>
      <x:c r="S29" s="10"/>
    </x:row>
    <x:row r="30" ht="72" customHeight="1">
      <x:c r="A30" s="2"/>
      <x:c r="B30" s="2"/>
      <x:c r="C30" s="3"/>
      <x:c r="D30" s="2"/>
      <x:c r="E30" s="4"/>
      <x:c r="F30" s="3"/>
      <x:c r="G30" s="5"/>
      <x:c r="H30" s="2"/>
      <x:c r="I30" s="2"/>
      <x:c r="J30" s="2"/>
      <x:c r="K30" s="3"/>
      <x:c r="L30" s="10"/>
      <x:c r="M30" s="2"/>
      <x:c r="N30" s="2"/>
      <x:c r="O30" s="2"/>
      <x:c r="P30" s="9"/>
      <x:c r="Q30" s="2"/>
      <x:c r="R30" s="2"/>
      <x:c r="S30" s="10"/>
    </x:row>
    <x:row r="31" ht="72" customHeight="1">
      <x:c r="A31" s="2"/>
      <x:c r="B31" s="2"/>
      <x:c r="C31" s="3"/>
      <x:c r="D31" s="2"/>
      <x:c r="E31" s="4"/>
      <x:c r="F31" s="3"/>
      <x:c r="G31" s="5"/>
      <x:c r="H31" s="2"/>
      <x:c r="I31" s="2"/>
      <x:c r="J31" s="2"/>
      <x:c r="K31" s="3"/>
      <x:c r="L31" s="10"/>
      <x:c r="M31" s="2"/>
      <x:c r="N31" s="2"/>
      <x:c r="O31" s="2"/>
      <x:c r="P31" s="9"/>
      <x:c r="Q31" s="2"/>
      <x:c r="R31" s="2"/>
      <x:c r="S31" s="10"/>
    </x:row>
    <x:row r="32" ht="72" customHeight="1">
      <x:c r="A32" s="2"/>
      <x:c r="B32" s="2"/>
      <x:c r="C32" s="3"/>
      <x:c r="D32" s="2"/>
      <x:c r="E32" s="4"/>
      <x:c r="F32" s="3"/>
      <x:c r="G32" s="5"/>
      <x:c r="H32" s="2"/>
      <x:c r="I32" s="2"/>
      <x:c r="J32" s="2"/>
      <x:c r="K32" s="3"/>
      <x:c r="L32" s="10"/>
      <x:c r="M32" s="2"/>
      <x:c r="N32" s="2"/>
      <x:c r="O32" s="2"/>
      <x:c r="P32" s="9"/>
      <x:c r="Q32" s="2"/>
      <x:c r="R32" s="2"/>
      <x:c r="S32" s="10"/>
    </x:row>
    <x:row r="33" ht="72" customHeight="1">
      <x:c r="A33" s="2"/>
      <x:c r="B33" s="2"/>
      <x:c r="C33" s="3"/>
      <x:c r="D33" s="2"/>
      <x:c r="E33" s="4"/>
      <x:c r="F33" s="3"/>
      <x:c r="G33" s="5"/>
      <x:c r="H33" s="2"/>
      <x:c r="I33" s="2"/>
      <x:c r="J33" s="2"/>
      <x:c r="K33" s="3"/>
      <x:c r="L33" s="10"/>
      <x:c r="M33" s="2"/>
      <x:c r="N33" s="2"/>
      <x:c r="O33" s="2"/>
      <x:c r="P33" s="9"/>
      <x:c r="Q33" s="2"/>
      <x:c r="R33" s="2"/>
      <x:c r="S33" s="10"/>
    </x:row>
    <x:row r="34" ht="72" customHeight="1">
      <x:c r="A34" s="2"/>
      <x:c r="B34" s="2"/>
      <x:c r="C34" s="3"/>
      <x:c r="D34" s="2"/>
      <x:c r="E34" s="4"/>
      <x:c r="F34" s="3"/>
      <x:c r="G34" s="5"/>
      <x:c r="H34" s="2"/>
      <x:c r="I34" s="2"/>
      <x:c r="J34" s="2"/>
      <x:c r="K34" s="3"/>
      <x:c r="L34" s="10"/>
      <x:c r="M34" s="2"/>
      <x:c r="N34" s="2"/>
      <x:c r="O34" s="2"/>
      <x:c r="P34" s="9"/>
      <x:c r="Q34" s="2"/>
      <x:c r="R34" s="2"/>
      <x:c r="S34" s="10"/>
    </x:row>
    <x:row r="35" ht="72" customHeight="1">
      <x:c r="A35" s="2"/>
      <x:c r="B35" s="2"/>
      <x:c r="C35" s="3"/>
      <x:c r="D35" s="2"/>
      <x:c r="E35" s="4"/>
      <x:c r="F35" s="3"/>
      <x:c r="G35" s="5"/>
      <x:c r="H35" s="2"/>
      <x:c r="I35" s="2"/>
      <x:c r="J35" s="2"/>
      <x:c r="K35" s="3"/>
      <x:c r="L35" s="10"/>
      <x:c r="M35" s="2"/>
      <x:c r="N35" s="2"/>
      <x:c r="O35" s="2"/>
      <x:c r="P35" s="9"/>
      <x:c r="Q35" s="2"/>
      <x:c r="R35" s="2"/>
      <x:c r="S35" s="10"/>
    </x:row>
    <x:row r="36" ht="72" customHeight="1">
      <x:c r="A36" s="2"/>
      <x:c r="B36" s="2"/>
      <x:c r="C36" s="3"/>
      <x:c r="D36" s="2"/>
      <x:c r="E36" s="4"/>
      <x:c r="F36" s="3"/>
      <x:c r="G36" s="5"/>
      <x:c r="H36" s="2"/>
      <x:c r="I36" s="2"/>
      <x:c r="J36" s="2"/>
      <x:c r="K36" s="3"/>
      <x:c r="L36" s="10"/>
      <x:c r="M36" s="2"/>
      <x:c r="N36" s="2"/>
      <x:c r="O36" s="2"/>
      <x:c r="P36" s="9"/>
      <x:c r="Q36" s="2"/>
      <x:c r="R36" s="2"/>
      <x:c r="S36" s="10"/>
    </x:row>
    <x:row r="37" ht="72" customHeight="1">
      <x:c r="A37" s="2"/>
      <x:c r="B37" s="2"/>
      <x:c r="C37" s="3"/>
      <x:c r="D37" s="2"/>
      <x:c r="E37" s="4"/>
      <x:c r="F37" s="3"/>
      <x:c r="G37" s="5"/>
      <x:c r="H37" s="2"/>
      <x:c r="I37" s="2"/>
      <x:c r="J37" s="2"/>
      <x:c r="K37" s="3"/>
      <x:c r="L37" s="10"/>
      <x:c r="M37" s="2"/>
      <x:c r="N37" s="2"/>
      <x:c r="O37" s="2"/>
      <x:c r="P37" s="9"/>
      <x:c r="Q37" s="2"/>
      <x:c r="R37" s="2"/>
      <x:c r="S37" s="10"/>
    </x:row>
    <x:row r="38" ht="72" customHeight="1">
      <x:c r="A38" s="2"/>
      <x:c r="B38" s="2"/>
      <x:c r="C38" s="3"/>
      <x:c r="D38" s="2"/>
      <x:c r="E38" s="4"/>
      <x:c r="F38" s="3"/>
      <x:c r="G38" s="5"/>
      <x:c r="H38" s="2"/>
      <x:c r="I38" s="2"/>
      <x:c r="J38" s="2"/>
      <x:c r="K38" s="3"/>
      <x:c r="L38" s="10"/>
      <x:c r="M38" s="2"/>
      <x:c r="N38" s="2"/>
      <x:c r="O38" s="2"/>
      <x:c r="P38" s="9"/>
      <x:c r="Q38" s="2"/>
      <x:c r="R38" s="2"/>
      <x:c r="S38" s="10"/>
    </x:row>
    <x:row r="39" ht="72" customHeight="1">
      <x:c r="A39" s="2"/>
      <x:c r="B39" s="2"/>
      <x:c r="C39" s="3"/>
      <x:c r="D39" s="2"/>
      <x:c r="E39" s="12"/>
      <x:c r="F39" s="7"/>
      <x:c r="G39" s="11"/>
      <x:c r="H39" s="7"/>
      <x:c r="I39" s="7"/>
      <x:c r="J39" s="7"/>
      <x:c r="K39" s="7"/>
      <x:c r="L39" s="13"/>
      <x:c r="M39" s="7"/>
      <x:c r="N39" s="2"/>
      <x:c r="O39" s="2"/>
      <x:c r="P39" s="9"/>
      <x:c r="Q39" s="7"/>
      <x:c r="R39" s="2"/>
      <x:c r="S39" s="10"/>
    </x:row>
    <x:row r="40" ht="72" customHeight="1">
      <x:c r="A40" s="2"/>
      <x:c r="B40" s="2"/>
      <x:c r="C40" s="3"/>
      <x:c r="D40" s="2"/>
      <x:c r="E40" s="4"/>
      <x:c r="F40" s="3"/>
      <x:c r="G40" s="5"/>
      <x:c r="H40" s="2"/>
      <x:c r="I40" s="2"/>
      <x:c r="J40" s="2"/>
      <x:c r="K40" s="3"/>
      <x:c r="L40" s="10"/>
      <x:c r="M40" s="2"/>
      <x:c r="N40" s="2"/>
      <x:c r="O40" s="2"/>
      <x:c r="P40" s="9"/>
      <x:c r="Q40" s="2"/>
      <x:c r="R40" s="2"/>
      <x:c r="S40" s="10"/>
    </x:row>
    <x:row r="41" ht="72" customHeight="1">
      <x:c r="A41" s="2"/>
      <x:c r="B41" s="2"/>
      <x:c r="C41" s="3"/>
      <x:c r="D41" s="2"/>
      <x:c r="E41" s="4"/>
      <x:c r="F41" s="3"/>
      <x:c r="G41" s="5"/>
      <x:c r="H41" s="2"/>
      <x:c r="I41" s="2"/>
      <x:c r="J41" s="2"/>
      <x:c r="K41" s="3"/>
      <x:c r="L41" s="10"/>
      <x:c r="M41" s="2"/>
      <x:c r="N41" s="2"/>
      <x:c r="O41" s="2"/>
      <x:c r="P41" s="9"/>
      <x:c r="Q41" s="2"/>
      <x:c r="R41" s="2"/>
      <x:c r="S41" s="10"/>
    </x:row>
    <x:row r="42" ht="72" customHeight="1">
      <x:c r="A42" s="2"/>
      <x:c r="B42" s="2"/>
      <x:c r="C42" s="3"/>
      <x:c r="D42" s="2"/>
      <x:c r="E42" s="4"/>
      <x:c r="F42" s="3"/>
      <x:c r="G42" s="5"/>
      <x:c r="H42" s="2"/>
      <x:c r="I42" s="2"/>
      <x:c r="J42" s="2"/>
      <x:c r="K42" s="3"/>
      <x:c r="L42" s="10"/>
      <x:c r="M42" s="2"/>
      <x:c r="N42" s="2"/>
      <x:c r="O42" s="2"/>
      <x:c r="P42" s="9"/>
      <x:c r="Q42" s="2"/>
      <x:c r="R42" s="2"/>
      <x:c r="S42" s="10"/>
    </x:row>
    <x:row r="43" ht="72" customHeight="1">
      <x:c r="A43" s="2"/>
      <x:c r="B43" s="2"/>
      <x:c r="C43" s="3"/>
      <x:c r="D43" s="2"/>
      <x:c r="E43" s="4"/>
      <x:c r="F43" s="3"/>
      <x:c r="G43" s="5"/>
      <x:c r="H43" s="2"/>
      <x:c r="I43" s="2"/>
      <x:c r="J43" s="2"/>
      <x:c r="K43" s="3"/>
      <x:c r="L43" s="10"/>
      <x:c r="M43" s="2"/>
      <x:c r="N43" s="2"/>
      <x:c r="O43" s="2"/>
      <x:c r="P43" s="9"/>
      <x:c r="Q43" s="2"/>
      <x:c r="R43" s="2"/>
      <x:c r="S43" s="10"/>
    </x:row>
    <x:row r="44" ht="72" customHeight="1">
      <x:c r="A44" s="2"/>
      <x:c r="B44" s="2"/>
      <x:c r="C44" s="3"/>
      <x:c r="D44" s="2"/>
      <x:c r="E44" s="4"/>
      <x:c r="F44" s="3"/>
      <x:c r="G44" s="5"/>
      <x:c r="H44" s="2"/>
      <x:c r="I44" s="2"/>
      <x:c r="J44" s="2"/>
      <x:c r="K44" s="3"/>
      <x:c r="L44" s="10"/>
      <x:c r="M44" s="2"/>
      <x:c r="N44" s="2"/>
      <x:c r="O44" s="2"/>
      <x:c r="P44" s="9"/>
      <x:c r="Q44" s="2"/>
      <x:c r="R44" s="2"/>
      <x:c r="S44" s="10"/>
    </x:row>
    <x:row r="45" ht="72" customHeight="1">
      <x:c r="A45" s="2"/>
      <x:c r="B45" s="2"/>
      <x:c r="C45" s="3"/>
      <x:c r="D45" s="2"/>
      <x:c r="E45" s="4"/>
      <x:c r="F45" s="3"/>
      <x:c r="G45" s="5"/>
      <x:c r="H45" s="2"/>
      <x:c r="I45" s="2"/>
      <x:c r="J45" s="2"/>
      <x:c r="K45" s="3"/>
      <x:c r="L45" s="10"/>
      <x:c r="M45" s="2"/>
      <x:c r="N45" s="2"/>
      <x:c r="O45" s="2"/>
      <x:c r="P45" s="9"/>
      <x:c r="Q45" s="2"/>
      <x:c r="R45" s="2"/>
      <x:c r="S45" s="10"/>
    </x:row>
    <x:row r="46" ht="72" customHeight="1">
      <x:c r="A46" s="2"/>
      <x:c r="B46" s="2"/>
      <x:c r="C46" s="3"/>
      <x:c r="D46" s="2"/>
      <x:c r="E46" s="4"/>
      <x:c r="F46" s="3"/>
      <x:c r="G46" s="5"/>
      <x:c r="H46" s="2"/>
      <x:c r="I46" s="2"/>
      <x:c r="J46" s="2"/>
      <x:c r="K46" s="3"/>
      <x:c r="L46" s="10"/>
      <x:c r="M46" s="2"/>
      <x:c r="N46" s="2"/>
      <x:c r="O46" s="2"/>
      <x:c r="P46" s="9"/>
      <x:c r="Q46" s="2"/>
      <x:c r="R46" s="2"/>
      <x:c r="S46" s="10"/>
    </x:row>
    <x:row r="47" ht="72" customHeight="1">
      <x:c r="A47" s="2"/>
      <x:c r="B47" s="2"/>
      <x:c r="C47" s="3"/>
      <x:c r="D47" s="2"/>
      <x:c r="E47" s="4"/>
      <x:c r="F47" s="3"/>
      <x:c r="G47" s="5"/>
      <x:c r="H47" s="2"/>
      <x:c r="I47" s="2"/>
      <x:c r="J47" s="2"/>
      <x:c r="K47" s="3"/>
      <x:c r="L47" s="10"/>
      <x:c r="M47" s="2"/>
      <x:c r="N47" s="2"/>
      <x:c r="O47" s="2"/>
      <x:c r="P47" s="9"/>
      <x:c r="Q47" s="2"/>
      <x:c r="R47" s="2"/>
      <x:c r="S47" s="10"/>
    </x:row>
    <x:row r="48" ht="72" customHeight="1">
      <x:c r="A48" s="2"/>
      <x:c r="B48" s="2"/>
      <x:c r="C48" s="3"/>
      <x:c r="D48" s="2"/>
      <x:c r="E48" s="4"/>
      <x:c r="F48" s="3"/>
      <x:c r="G48" s="5"/>
      <x:c r="H48" s="2"/>
      <x:c r="I48" s="2"/>
      <x:c r="J48" s="2"/>
      <x:c r="K48" s="3"/>
      <x:c r="L48" s="10"/>
      <x:c r="M48" s="2"/>
      <x:c r="N48" s="2"/>
      <x:c r="O48" s="2"/>
      <x:c r="P48" s="9"/>
      <x:c r="Q48" s="2"/>
      <x:c r="R48" s="2"/>
      <x:c r="S48" s="10"/>
    </x:row>
    <x:row r="49" ht="72" customHeight="1">
      <x:c r="A49" s="2"/>
      <x:c r="B49" s="2"/>
      <x:c r="C49" s="3"/>
      <x:c r="D49" s="2"/>
      <x:c r="E49" s="4"/>
      <x:c r="F49" s="3"/>
      <x:c r="G49" s="5"/>
      <x:c r="H49" s="2"/>
      <x:c r="I49" s="2"/>
      <x:c r="J49" s="2"/>
      <x:c r="K49" s="3"/>
      <x:c r="L49" s="10"/>
      <x:c r="M49" s="2"/>
      <x:c r="N49" s="2"/>
      <x:c r="O49" s="2"/>
      <x:c r="P49" s="9"/>
      <x:c r="Q49" s="2"/>
      <x:c r="R49" s="2"/>
      <x:c r="S49" s="10"/>
    </x:row>
    <x:row r="50" ht="72" customHeight="1">
      <x:c r="A50" s="2"/>
      <x:c r="B50" s="2"/>
      <x:c r="C50" s="3"/>
      <x:c r="D50" s="2"/>
      <x:c r="E50" s="4"/>
      <x:c r="F50" s="3"/>
      <x:c r="G50" s="5"/>
      <x:c r="H50" s="2"/>
      <x:c r="I50" s="2"/>
      <x:c r="J50" s="2"/>
      <x:c r="K50" s="3"/>
      <x:c r="L50" s="10"/>
      <x:c r="M50" s="2"/>
      <x:c r="N50" s="2"/>
      <x:c r="O50" s="2"/>
      <x:c r="P50" s="9"/>
      <x:c r="Q50" s="2"/>
      <x:c r="R50" s="2"/>
      <x:c r="S50" s="10"/>
    </x:row>
    <x:row r="51" ht="72" customHeight="1">
      <x:c r="A51" s="2"/>
      <x:c r="B51" s="2"/>
      <x:c r="C51" s="3"/>
      <x:c r="D51" s="2"/>
      <x:c r="E51" s="4"/>
      <x:c r="F51" s="3"/>
      <x:c r="G51" s="5"/>
      <x:c r="H51" s="2"/>
      <x:c r="I51" s="2"/>
      <x:c r="J51" s="2"/>
      <x:c r="K51" s="3"/>
      <x:c r="L51" s="10"/>
      <x:c r="M51" s="2"/>
      <x:c r="N51" s="2"/>
      <x:c r="O51" s="2"/>
      <x:c r="P51" s="9"/>
      <x:c r="Q51" s="2"/>
      <x:c r="R51" s="2"/>
      <x:c r="S51" s="10"/>
    </x:row>
    <x:row r="52" ht="72" customHeight="1">
      <x:c r="A52" s="2"/>
      <x:c r="B52" s="2"/>
      <x:c r="C52" s="3"/>
      <x:c r="D52" s="2"/>
      <x:c r="E52" s="4"/>
      <x:c r="F52" s="3"/>
      <x:c r="G52" s="5"/>
      <x:c r="H52" s="2"/>
      <x:c r="I52" s="2"/>
      <x:c r="J52" s="2"/>
      <x:c r="K52" s="3"/>
      <x:c r="L52" s="10"/>
      <x:c r="M52" s="2"/>
      <x:c r="N52" s="2"/>
      <x:c r="O52" s="2"/>
      <x:c r="P52" s="9"/>
      <x:c r="Q52" s="2"/>
      <x:c r="R52" s="2"/>
      <x:c r="S52" s="10"/>
    </x:row>
    <x:row r="53" ht="72" customHeight="1">
      <x:c r="A53" s="2"/>
      <x:c r="B53" s="2"/>
      <x:c r="C53" s="3"/>
      <x:c r="D53" s="2"/>
      <x:c r="E53" s="4"/>
      <x:c r="F53" s="3"/>
      <x:c r="G53" s="5"/>
      <x:c r="H53" s="2"/>
      <x:c r="I53" s="2"/>
      <x:c r="J53" s="2"/>
      <x:c r="K53" s="3"/>
      <x:c r="L53" s="10"/>
      <x:c r="M53" s="2"/>
      <x:c r="N53" s="2"/>
      <x:c r="O53" s="2"/>
      <x:c r="P53" s="9"/>
      <x:c r="Q53" s="2"/>
      <x:c r="R53" s="2"/>
      <x:c r="S53" s="10"/>
    </x:row>
    <x:row r="54" ht="72" customHeight="1">
      <x:c r="A54" s="2"/>
      <x:c r="B54" s="2"/>
      <x:c r="C54" s="3"/>
      <x:c r="D54" s="2"/>
      <x:c r="E54" s="4"/>
      <x:c r="F54" s="3"/>
      <x:c r="G54" s="5"/>
      <x:c r="H54" s="2"/>
      <x:c r="I54" s="2"/>
      <x:c r="J54" s="2"/>
      <x:c r="K54" s="3"/>
      <x:c r="L54" s="10"/>
      <x:c r="M54" s="2"/>
      <x:c r="N54" s="2"/>
      <x:c r="O54" s="2"/>
      <x:c r="P54" s="9"/>
      <x:c r="Q54" s="2"/>
      <x:c r="R54" s="2"/>
      <x:c r="S54" s="10"/>
    </x:row>
    <x:row r="55" ht="72" customHeight="1">
      <x:c r="A55" s="2"/>
      <x:c r="B55" s="2"/>
      <x:c r="C55" s="3"/>
      <x:c r="D55" s="2"/>
      <x:c r="E55" s="4"/>
      <x:c r="F55" s="3"/>
      <x:c r="G55" s="5"/>
      <x:c r="H55" s="2"/>
      <x:c r="I55" s="2"/>
      <x:c r="J55" s="2"/>
      <x:c r="K55" s="3"/>
      <x:c r="L55" s="10"/>
      <x:c r="M55" s="2"/>
      <x:c r="N55" s="2"/>
      <x:c r="O55" s="2"/>
      <x:c r="P55" s="9"/>
      <x:c r="Q55" s="2"/>
      <x:c r="R55" s="2"/>
      <x:c r="S55" s="10"/>
    </x:row>
    <x:row r="56" ht="72" customHeight="1">
      <x:c r="A56" s="2"/>
      <x:c r="B56" s="2"/>
      <x:c r="C56" s="3"/>
      <x:c r="D56" s="2"/>
      <x:c r="E56" s="4"/>
      <x:c r="F56" s="3"/>
      <x:c r="G56" s="5"/>
      <x:c r="H56" s="2"/>
      <x:c r="I56" s="2"/>
      <x:c r="J56" s="2"/>
      <x:c r="K56" s="3"/>
      <x:c r="L56" s="10"/>
      <x:c r="M56" s="2"/>
      <x:c r="N56" s="2"/>
      <x:c r="O56" s="2"/>
      <x:c r="P56" s="9"/>
      <x:c r="Q56" s="2"/>
      <x:c r="R56" s="2"/>
      <x:c r="S56" s="10"/>
    </x:row>
    <x:row r="57" ht="72" customHeight="1">
      <x:c r="A57" s="2"/>
      <x:c r="B57" s="2"/>
      <x:c r="C57" s="3"/>
      <x:c r="D57" s="2"/>
      <x:c r="E57" s="4"/>
      <x:c r="F57" s="3"/>
      <x:c r="G57" s="5"/>
      <x:c r="H57" s="2"/>
      <x:c r="I57" s="2"/>
      <x:c r="J57" s="2"/>
      <x:c r="K57" s="3"/>
      <x:c r="L57" s="10"/>
      <x:c r="M57" s="2"/>
      <x:c r="N57" s="2"/>
      <x:c r="O57" s="2"/>
      <x:c r="P57" s="9"/>
      <x:c r="Q57" s="2"/>
      <x:c r="R57" s="2"/>
      <x:c r="S57" s="10"/>
    </x:row>
    <x:row r="58" ht="72" customHeight="1">
      <x:c r="A58" s="2"/>
      <x:c r="B58" s="2"/>
      <x:c r="C58" s="3"/>
      <x:c r="D58" s="2"/>
      <x:c r="E58" s="4"/>
      <x:c r="F58" s="3"/>
      <x:c r="G58" s="5"/>
      <x:c r="H58" s="2"/>
      <x:c r="I58" s="2"/>
      <x:c r="J58" s="2"/>
      <x:c r="K58" s="3"/>
      <x:c r="L58" s="10"/>
      <x:c r="M58" s="2"/>
      <x:c r="N58" s="2"/>
      <x:c r="O58" s="2"/>
      <x:c r="P58" s="9"/>
      <x:c r="Q58" s="2"/>
      <x:c r="R58" s="2"/>
      <x:c r="S58" s="10"/>
    </x:row>
    <x:row r="59" ht="72" customHeight="1">
      <x:c r="A59" s="2"/>
      <x:c r="B59" s="2"/>
      <x:c r="C59" s="3"/>
      <x:c r="D59" s="2"/>
      <x:c r="E59" s="4"/>
      <x:c r="F59" s="3"/>
      <x:c r="G59" s="5"/>
      <x:c r="H59" s="2"/>
      <x:c r="I59" s="2"/>
      <x:c r="J59" s="2"/>
      <x:c r="K59" s="3"/>
      <x:c r="L59" s="10"/>
      <x:c r="M59" s="2"/>
      <x:c r="N59" s="2"/>
      <x:c r="O59" s="2"/>
      <x:c r="P59" s="9"/>
      <x:c r="Q59" s="2"/>
      <x:c r="R59" s="2"/>
      <x:c r="S59" s="10"/>
    </x:row>
    <x:row r="60" ht="72" customHeight="1">
      <x:c r="A60" s="2"/>
      <x:c r="B60" s="2"/>
      <x:c r="C60" s="3"/>
      <x:c r="D60" s="2"/>
      <x:c r="E60" s="4"/>
      <x:c r="F60" s="3"/>
      <x:c r="G60" s="5"/>
      <x:c r="H60" s="2"/>
      <x:c r="I60" s="2"/>
      <x:c r="J60" s="2"/>
      <x:c r="K60" s="3"/>
      <x:c r="L60" s="10"/>
      <x:c r="M60" s="2"/>
      <x:c r="N60" s="2"/>
      <x:c r="O60" s="2"/>
      <x:c r="P60" s="9"/>
      <x:c r="Q60" s="2"/>
      <x:c r="R60" s="2"/>
      <x:c r="S60" s="10"/>
    </x:row>
    <x:row r="61" ht="72" customHeight="1">
      <x:c r="A61" s="2"/>
      <x:c r="B61" s="2"/>
      <x:c r="C61" s="3"/>
      <x:c r="D61" s="2"/>
      <x:c r="E61" s="4"/>
      <x:c r="F61" s="3"/>
      <x:c r="G61" s="5"/>
      <x:c r="H61" s="2"/>
      <x:c r="I61" s="2"/>
      <x:c r="J61" s="2"/>
      <x:c r="K61" s="3"/>
      <x:c r="L61" s="10"/>
      <x:c r="M61" s="2"/>
      <x:c r="N61" s="2"/>
      <x:c r="O61" s="2"/>
      <x:c r="P61" s="9"/>
      <x:c r="Q61" s="2"/>
      <x:c r="R61" s="2"/>
      <x:c r="S61" s="10"/>
    </x:row>
    <x:row r="62" ht="72" customHeight="1">
      <x:c r="A62" s="2"/>
      <x:c r="B62" s="2"/>
      <x:c r="C62" s="3"/>
      <x:c r="D62" s="2"/>
      <x:c r="E62" s="4"/>
      <x:c r="F62" s="3"/>
      <x:c r="G62" s="5"/>
      <x:c r="H62" s="2"/>
      <x:c r="I62" s="2"/>
      <x:c r="J62" s="2"/>
      <x:c r="K62" s="3"/>
      <x:c r="L62" s="10"/>
      <x:c r="M62" s="2"/>
      <x:c r="N62" s="2"/>
      <x:c r="O62" s="2"/>
      <x:c r="P62" s="9"/>
      <x:c r="Q62" s="2"/>
      <x:c r="R62" s="2"/>
      <x:c r="S62" s="10"/>
    </x:row>
    <x:row r="63" ht="72" customHeight="1">
      <x:c r="A63" s="2"/>
      <x:c r="B63" s="2"/>
      <x:c r="C63" s="3"/>
      <x:c r="D63" s="2"/>
      <x:c r="E63" s="4"/>
      <x:c r="F63" s="3"/>
      <x:c r="G63" s="5"/>
      <x:c r="H63" s="2"/>
      <x:c r="I63" s="2"/>
      <x:c r="J63" s="2"/>
      <x:c r="K63" s="3"/>
      <x:c r="L63" s="10"/>
      <x:c r="M63" s="2"/>
      <x:c r="N63" s="2"/>
      <x:c r="O63" s="2"/>
      <x:c r="P63" s="9"/>
      <x:c r="Q63" s="2"/>
      <x:c r="R63" s="2"/>
      <x:c r="S63" s="10"/>
    </x:row>
    <x:row r="64" ht="72" customHeight="1">
      <x:c r="A64" s="2"/>
      <x:c r="B64" s="2"/>
      <x:c r="C64" s="3"/>
      <x:c r="D64" s="2"/>
      <x:c r="E64" s="4"/>
      <x:c r="F64" s="3"/>
      <x:c r="G64" s="5"/>
      <x:c r="H64" s="2"/>
      <x:c r="I64" s="2"/>
      <x:c r="J64" s="2"/>
      <x:c r="K64" s="3"/>
      <x:c r="L64" s="10"/>
      <x:c r="M64" s="2"/>
      <x:c r="N64" s="2"/>
      <x:c r="O64" s="2"/>
      <x:c r="P64" s="9"/>
      <x:c r="Q64" s="2"/>
      <x:c r="R64" s="2"/>
      <x:c r="S64" s="10"/>
    </x:row>
    <x:row r="65" ht="72" customHeight="1">
      <x:c r="A65" s="2"/>
      <x:c r="B65" s="2"/>
      <x:c r="C65" s="3"/>
      <x:c r="D65" s="2"/>
      <x:c r="E65" s="4"/>
      <x:c r="F65" s="3"/>
      <x:c r="G65" s="5"/>
      <x:c r="H65" s="2"/>
      <x:c r="I65" s="2"/>
      <x:c r="J65" s="2"/>
      <x:c r="K65" s="3"/>
      <x:c r="L65" s="10"/>
      <x:c r="M65" s="2"/>
      <x:c r="N65" s="2"/>
      <x:c r="O65" s="2"/>
      <x:c r="P65" s="9"/>
      <x:c r="Q65" s="2"/>
      <x:c r="R65" s="2"/>
      <x:c r="S65" s="10"/>
    </x:row>
    <x:row r="66" ht="72" customHeight="1">
      <x:c r="A66" s="2"/>
      <x:c r="B66" s="2"/>
      <x:c r="C66" s="3"/>
      <x:c r="D66" s="2"/>
      <x:c r="E66" s="4"/>
      <x:c r="F66" s="3"/>
      <x:c r="G66" s="5"/>
      <x:c r="H66" s="2"/>
      <x:c r="I66" s="2"/>
      <x:c r="J66" s="2"/>
      <x:c r="K66" s="3"/>
      <x:c r="L66" s="10"/>
      <x:c r="M66" s="2"/>
      <x:c r="N66" s="2"/>
      <x:c r="O66" s="2"/>
      <x:c r="P66" s="9"/>
      <x:c r="Q66" s="2"/>
      <x:c r="R66" s="2"/>
      <x:c r="S66" s="10"/>
    </x:row>
    <x:row r="67" ht="72" customHeight="1">
      <x:c r="A67" s="2"/>
      <x:c r="B67" s="2"/>
      <x:c r="C67" s="3"/>
      <x:c r="D67" s="2"/>
      <x:c r="E67" s="4"/>
      <x:c r="F67" s="3"/>
      <x:c r="G67" s="5"/>
      <x:c r="H67" s="2"/>
      <x:c r="I67" s="2"/>
      <x:c r="J67" s="2"/>
      <x:c r="K67" s="3"/>
      <x:c r="L67" s="10"/>
      <x:c r="M67" s="2"/>
      <x:c r="N67" s="2"/>
      <x:c r="O67" s="2"/>
      <x:c r="P67" s="9"/>
      <x:c r="Q67" s="2"/>
      <x:c r="R67" s="2"/>
      <x:c r="S67" s="10"/>
    </x:row>
    <x:row r="68" ht="72" customHeight="1">
      <x:c r="A68" s="2"/>
      <x:c r="B68" s="2"/>
      <x:c r="C68" s="3"/>
      <x:c r="D68" s="2"/>
      <x:c r="E68" s="4"/>
      <x:c r="F68" s="3"/>
      <x:c r="G68" s="5"/>
      <x:c r="H68" s="2"/>
      <x:c r="I68" s="2"/>
      <x:c r="J68" s="2"/>
      <x:c r="K68" s="3"/>
      <x:c r="L68" s="10"/>
      <x:c r="M68" s="2"/>
      <x:c r="N68" s="2"/>
      <x:c r="O68" s="2"/>
      <x:c r="P68" s="9"/>
      <x:c r="Q68" s="2"/>
      <x:c r="R68" s="2"/>
      <x:c r="S68" s="10"/>
    </x:row>
    <x:row r="69" ht="72" customHeight="1">
      <x:c r="A69" s="2"/>
      <x:c r="B69" s="2"/>
      <x:c r="C69" s="3"/>
      <x:c r="D69" s="2"/>
      <x:c r="E69" s="4"/>
      <x:c r="F69" s="3"/>
      <x:c r="G69" s="5"/>
      <x:c r="H69" s="2"/>
      <x:c r="I69" s="2"/>
      <x:c r="J69" s="2"/>
      <x:c r="K69" s="3"/>
      <x:c r="L69" s="10"/>
      <x:c r="M69" s="2"/>
      <x:c r="N69" s="2"/>
      <x:c r="O69" s="2"/>
      <x:c r="P69" s="9"/>
      <x:c r="Q69" s="2"/>
      <x:c r="R69" s="2"/>
      <x:c r="S69" s="10"/>
    </x:row>
    <x:row r="70" ht="72" customHeight="1">
      <x:c r="A70" s="2"/>
      <x:c r="B70" s="2"/>
      <x:c r="C70" s="7"/>
      <x:c r="D70" s="2"/>
      <x:c r="E70" s="12"/>
      <x:c r="F70" s="7"/>
      <x:c r="G70" s="11"/>
      <x:c r="H70" s="7"/>
      <x:c r="I70" s="7"/>
      <x:c r="J70" s="7"/>
      <x:c r="K70" s="7"/>
      <x:c r="L70" s="13"/>
      <x:c r="M70" s="7"/>
      <x:c r="N70" s="2"/>
      <x:c r="O70" s="2"/>
      <x:c r="P70" s="9"/>
      <x:c r="Q70" s="7"/>
      <x:c r="R70" s="2"/>
      <x:c r="S70" s="10"/>
    </x:row>
    <x:row r="71" ht="72" customHeight="1">
      <x:c r="A71" s="2"/>
      <x:c r="B71" s="2"/>
      <x:c r="C71" s="3"/>
      <x:c r="D71" s="2"/>
      <x:c r="E71" s="4"/>
      <x:c r="F71" s="3"/>
      <x:c r="G71" s="5"/>
      <x:c r="H71" s="2"/>
      <x:c r="I71" s="2"/>
      <x:c r="J71" s="2"/>
      <x:c r="K71" s="3"/>
      <x:c r="L71" s="10"/>
      <x:c r="M71" s="2"/>
      <x:c r="N71" s="2"/>
      <x:c r="O71" s="2"/>
      <x:c r="P71" s="9"/>
      <x:c r="Q71" s="2"/>
      <x:c r="R71" s="2"/>
      <x:c r="S71" s="10"/>
    </x:row>
    <x:row r="72" ht="72" customHeight="1">
      <x:c r="A72" s="2"/>
      <x:c r="B72" s="2"/>
      <x:c r="C72" s="3"/>
      <x:c r="D72" s="2"/>
      <x:c r="E72" s="4"/>
      <x:c r="F72" s="3"/>
      <x:c r="G72" s="5"/>
      <x:c r="H72" s="2"/>
      <x:c r="I72" s="2"/>
      <x:c r="J72" s="2"/>
      <x:c r="K72" s="3"/>
      <x:c r="L72" s="10"/>
      <x:c r="M72" s="2"/>
      <x:c r="N72" s="2"/>
      <x:c r="O72" s="2"/>
      <x:c r="P72" s="9"/>
      <x:c r="Q72" s="2"/>
      <x:c r="R72" s="2"/>
      <x:c r="S72" s="10"/>
    </x:row>
    <x:row r="73" ht="72" customHeight="1">
      <x:c r="A73" s="2"/>
      <x:c r="B73" s="2"/>
      <x:c r="C73" s="3"/>
      <x:c r="D73" s="2"/>
      <x:c r="E73" s="4"/>
      <x:c r="F73" s="3"/>
      <x:c r="G73" s="5"/>
      <x:c r="H73" s="2"/>
      <x:c r="I73" s="2"/>
      <x:c r="J73" s="2"/>
      <x:c r="K73" s="3"/>
      <x:c r="L73" s="10"/>
      <x:c r="M73" s="2"/>
      <x:c r="N73" s="2"/>
      <x:c r="O73" s="2"/>
      <x:c r="P73" s="9"/>
      <x:c r="Q73" s="2"/>
      <x:c r="R73" s="2"/>
      <x:c r="S73" s="10"/>
    </x:row>
    <x:row r="74" ht="72" customHeight="1">
      <x:c r="A74" s="2"/>
      <x:c r="B74" s="2"/>
      <x:c r="C74" s="3"/>
      <x:c r="D74" s="2"/>
      <x:c r="E74" s="4"/>
      <x:c r="F74" s="3"/>
      <x:c r="G74" s="5"/>
      <x:c r="H74" s="2"/>
      <x:c r="I74" s="2"/>
      <x:c r="J74" s="2"/>
      <x:c r="K74" s="3"/>
      <x:c r="L74" s="10"/>
      <x:c r="M74" s="2"/>
      <x:c r="N74" s="2"/>
      <x:c r="O74" s="2"/>
      <x:c r="P74" s="9"/>
      <x:c r="Q74" s="2"/>
      <x:c r="R74" s="2"/>
      <x:c r="S74" s="10"/>
    </x:row>
    <x:row r="75" ht="72" customHeight="1">
      <x:c r="A75" s="2"/>
      <x:c r="B75" s="2"/>
      <x:c r="C75" s="3"/>
      <x:c r="D75" s="2"/>
      <x:c r="E75" s="4"/>
      <x:c r="F75" s="3"/>
      <x:c r="G75" s="5"/>
      <x:c r="H75" s="2"/>
      <x:c r="I75" s="2"/>
      <x:c r="J75" s="2"/>
      <x:c r="K75" s="3"/>
      <x:c r="L75" s="10"/>
      <x:c r="M75" s="2"/>
      <x:c r="N75" s="2"/>
      <x:c r="O75" s="2"/>
      <x:c r="P75" s="9"/>
      <x:c r="Q75" s="2"/>
      <x:c r="R75" s="2"/>
      <x:c r="S75" s="10"/>
    </x:row>
    <x:row r="76" ht="72" customHeight="1">
      <x:c r="A76" s="2"/>
      <x:c r="B76" s="2"/>
      <x:c r="C76" s="3"/>
      <x:c r="D76" s="2"/>
      <x:c r="E76" s="4"/>
      <x:c r="F76" s="3"/>
      <x:c r="G76" s="5"/>
      <x:c r="H76" s="2"/>
      <x:c r="I76" s="2"/>
      <x:c r="J76" s="2"/>
      <x:c r="K76" s="3"/>
      <x:c r="L76" s="10"/>
      <x:c r="M76" s="2"/>
      <x:c r="N76" s="2"/>
      <x:c r="O76" s="2"/>
      <x:c r="P76" s="9"/>
      <x:c r="Q76" s="2"/>
      <x:c r="R76" s="2"/>
      <x:c r="S76" s="10"/>
    </x:row>
    <x:row r="77" ht="72" customHeight="1">
      <x:c r="A77" s="2"/>
      <x:c r="B77" s="2"/>
      <x:c r="C77" s="3"/>
      <x:c r="D77" s="2"/>
      <x:c r="E77" s="4"/>
      <x:c r="F77" s="3"/>
      <x:c r="G77" s="5"/>
      <x:c r="H77" s="2"/>
      <x:c r="I77" s="2"/>
      <x:c r="J77" s="2"/>
      <x:c r="K77" s="3"/>
      <x:c r="L77" s="10"/>
      <x:c r="M77" s="2"/>
      <x:c r="N77" s="2"/>
      <x:c r="O77" s="2"/>
      <x:c r="P77" s="9"/>
      <x:c r="Q77" s="2"/>
      <x:c r="R77" s="2"/>
      <x:c r="S77" s="10"/>
    </x:row>
    <x:row r="78" ht="72" customHeight="1">
      <x:c r="A78" s="2"/>
      <x:c r="B78" s="2"/>
      <x:c r="C78" s="3"/>
      <x:c r="D78" s="2"/>
      <x:c r="E78" s="4"/>
      <x:c r="F78" s="3"/>
      <x:c r="G78" s="5"/>
      <x:c r="H78" s="2"/>
      <x:c r="I78" s="2"/>
      <x:c r="J78" s="2"/>
      <x:c r="K78" s="3"/>
      <x:c r="L78" s="10"/>
      <x:c r="M78" s="2"/>
      <x:c r="N78" s="2"/>
      <x:c r="O78" s="2"/>
      <x:c r="P78" s="9"/>
      <x:c r="Q78" s="2"/>
      <x:c r="R78" s="2"/>
      <x:c r="S78" s="10"/>
    </x:row>
    <x:row r="79" ht="72" customHeight="1">
      <x:c r="A79" s="2"/>
      <x:c r="B79" s="2"/>
      <x:c r="C79" s="3"/>
      <x:c r="D79" s="2"/>
      <x:c r="E79" s="4"/>
      <x:c r="F79" s="3"/>
      <x:c r="G79" s="5"/>
      <x:c r="H79" s="2"/>
      <x:c r="I79" s="2"/>
      <x:c r="J79" s="2"/>
      <x:c r="K79" s="3"/>
      <x:c r="L79" s="10"/>
      <x:c r="M79" s="2"/>
      <x:c r="N79" s="2"/>
      <x:c r="O79" s="2"/>
      <x:c r="P79" s="9"/>
      <x:c r="Q79" s="2"/>
      <x:c r="R79" s="2"/>
      <x:c r="S79" s="10"/>
    </x:row>
    <x:row r="80" ht="72" customHeight="1">
      <x:c r="A80" s="2"/>
      <x:c r="B80" s="2"/>
      <x:c r="C80" s="3"/>
      <x:c r="D80" s="2"/>
      <x:c r="E80" s="4"/>
      <x:c r="F80" s="3"/>
      <x:c r="G80" s="5"/>
      <x:c r="H80" s="2"/>
      <x:c r="I80" s="2"/>
      <x:c r="J80" s="2"/>
      <x:c r="K80" s="3"/>
      <x:c r="L80" s="10"/>
      <x:c r="M80" s="2"/>
      <x:c r="N80" s="2"/>
      <x:c r="O80" s="2"/>
      <x:c r="P80" s="9"/>
      <x:c r="Q80" s="2"/>
      <x:c r="R80" s="2"/>
      <x:c r="S80" s="10"/>
    </x:row>
    <x:row r="81" ht="72" customHeight="1">
      <x:c r="A81" s="2"/>
      <x:c r="B81" s="2"/>
      <x:c r="C81" s="3"/>
      <x:c r="D81" s="2"/>
      <x:c r="E81" s="4"/>
      <x:c r="F81" s="3"/>
      <x:c r="G81" s="5"/>
      <x:c r="H81" s="2"/>
      <x:c r="I81" s="2"/>
      <x:c r="J81" s="2"/>
      <x:c r="K81" s="3"/>
      <x:c r="L81" s="10"/>
      <x:c r="M81" s="2"/>
      <x:c r="N81" s="2"/>
      <x:c r="O81" s="2"/>
      <x:c r="P81" s="9"/>
      <x:c r="Q81" s="2"/>
      <x:c r="R81" s="2"/>
      <x:c r="S81" s="10"/>
    </x:row>
    <x:row r="82" ht="72" customHeight="1">
      <x:c r="A82" s="2"/>
      <x:c r="B82" s="2"/>
      <x:c r="C82" s="3"/>
      <x:c r="D82" s="2"/>
      <x:c r="E82" s="4"/>
      <x:c r="F82" s="3"/>
      <x:c r="G82" s="5"/>
      <x:c r="H82" s="2"/>
      <x:c r="I82" s="2"/>
      <x:c r="J82" s="2"/>
      <x:c r="K82" s="3"/>
      <x:c r="L82" s="10"/>
      <x:c r="M82" s="2"/>
      <x:c r="N82" s="2"/>
      <x:c r="O82" s="2"/>
      <x:c r="P82" s="9"/>
      <x:c r="Q82" s="2"/>
      <x:c r="R82" s="2"/>
      <x:c r="S82" s="10"/>
    </x:row>
    <x:row r="83" ht="72" customHeight="1">
      <x:c r="A83" s="2"/>
      <x:c r="B83" s="2"/>
      <x:c r="C83" s="3"/>
      <x:c r="D83" s="2"/>
      <x:c r="E83" s="4"/>
      <x:c r="F83" s="3"/>
      <x:c r="G83" s="5"/>
      <x:c r="H83" s="2"/>
      <x:c r="I83" s="2"/>
      <x:c r="J83" s="2"/>
      <x:c r="K83" s="3"/>
      <x:c r="L83" s="10"/>
      <x:c r="M83" s="2"/>
      <x:c r="N83" s="2"/>
      <x:c r="O83" s="2"/>
      <x:c r="P83" s="9"/>
      <x:c r="Q83" s="2"/>
      <x:c r="R83" s="2"/>
      <x:c r="S83" s="10"/>
    </x:row>
    <x:row r="84" ht="72" customHeight="1">
      <x:c r="A84" s="2"/>
      <x:c r="B84" s="2"/>
      <x:c r="C84" s="3"/>
      <x:c r="D84" s="2"/>
      <x:c r="E84" s="4"/>
      <x:c r="F84" s="3"/>
      <x:c r="G84" s="5"/>
      <x:c r="H84" s="2"/>
      <x:c r="I84" s="2"/>
      <x:c r="J84" s="2"/>
      <x:c r="K84" s="3"/>
      <x:c r="L84" s="10"/>
      <x:c r="M84" s="2"/>
      <x:c r="N84" s="2"/>
      <x:c r="O84" s="2"/>
      <x:c r="P84" s="9"/>
      <x:c r="Q84" s="2"/>
      <x:c r="R84" s="2"/>
      <x:c r="S84" s="10"/>
    </x:row>
    <x:row r="85" ht="72" customHeight="1">
      <x:c r="A85" s="2"/>
      <x:c r="B85" s="2"/>
      <x:c r="C85" s="3"/>
      <x:c r="D85" s="2"/>
      <x:c r="E85" s="4"/>
      <x:c r="F85" s="3"/>
      <x:c r="G85" s="5"/>
      <x:c r="H85" s="2"/>
      <x:c r="I85" s="2"/>
      <x:c r="J85" s="2"/>
      <x:c r="K85" s="3"/>
      <x:c r="L85" s="10"/>
      <x:c r="M85" s="2"/>
      <x:c r="N85" s="2"/>
      <x:c r="O85" s="2"/>
      <x:c r="P85" s="9"/>
      <x:c r="Q85" s="2"/>
      <x:c r="R85" s="2"/>
      <x:c r="S85" s="10"/>
    </x:row>
    <x:row r="86" ht="72" customHeight="1">
      <x:c r="A86" s="2"/>
      <x:c r="B86" s="2"/>
      <x:c r="C86" s="3"/>
      <x:c r="D86" s="2"/>
      <x:c r="E86" s="4"/>
      <x:c r="F86" s="3"/>
      <x:c r="G86" s="5"/>
      <x:c r="H86" s="2"/>
      <x:c r="I86" s="2"/>
      <x:c r="J86" s="2"/>
      <x:c r="K86" s="3"/>
      <x:c r="L86" s="10"/>
      <x:c r="M86" s="2"/>
      <x:c r="N86" s="2"/>
      <x:c r="O86" s="2"/>
      <x:c r="P86" s="9"/>
      <x:c r="Q86" s="2"/>
      <x:c r="R86" s="2"/>
      <x:c r="S86" s="10"/>
    </x:row>
    <x:row r="87" ht="72" customHeight="1">
      <x:c r="A87" s="2"/>
      <x:c r="B87" s="2"/>
      <x:c r="C87" s="3"/>
      <x:c r="D87" s="2"/>
      <x:c r="E87" s="4"/>
      <x:c r="F87" s="3"/>
      <x:c r="G87" s="5"/>
      <x:c r="H87" s="2"/>
      <x:c r="I87" s="2"/>
      <x:c r="J87" s="2"/>
      <x:c r="K87" s="3"/>
      <x:c r="L87" s="10"/>
      <x:c r="M87" s="2"/>
      <x:c r="N87" s="2"/>
      <x:c r="O87" s="2"/>
      <x:c r="P87" s="9"/>
      <x:c r="Q87" s="2"/>
      <x:c r="R87" s="2"/>
      <x:c r="S87" s="10"/>
    </x:row>
    <x:row r="88" ht="72" customHeight="1">
      <x:c r="A88" s="2"/>
      <x:c r="B88" s="2"/>
      <x:c r="C88" s="3"/>
      <x:c r="D88" s="2"/>
      <x:c r="E88" s="4"/>
      <x:c r="F88" s="3"/>
      <x:c r="G88" s="5"/>
      <x:c r="H88" s="2"/>
      <x:c r="I88" s="2"/>
      <x:c r="J88" s="2"/>
      <x:c r="K88" s="3"/>
      <x:c r="L88" s="10"/>
      <x:c r="M88" s="2"/>
      <x:c r="N88" s="2"/>
      <x:c r="O88" s="2"/>
      <x:c r="P88" s="9"/>
      <x:c r="Q88" s="2"/>
      <x:c r="R88" s="2"/>
      <x:c r="S88" s="10"/>
    </x:row>
    <x:row r="89" ht="72" customHeight="1">
      <x:c r="A89" s="2"/>
      <x:c r="B89" s="2"/>
      <x:c r="C89" s="3"/>
      <x:c r="D89" s="2"/>
      <x:c r="E89" s="4"/>
      <x:c r="F89" s="3"/>
      <x:c r="G89" s="5"/>
      <x:c r="H89" s="2"/>
      <x:c r="I89" s="2"/>
      <x:c r="J89" s="2"/>
      <x:c r="K89" s="3"/>
      <x:c r="L89" s="10"/>
      <x:c r="M89" s="2"/>
      <x:c r="N89" s="2"/>
      <x:c r="O89" s="2"/>
      <x:c r="P89" s="9"/>
      <x:c r="Q89" s="2"/>
      <x:c r="R89" s="2"/>
      <x:c r="S89" s="10"/>
    </x:row>
    <x:row r="90" ht="72" customHeight="1">
      <x:c r="A90" s="2"/>
      <x:c r="B90" s="2"/>
      <x:c r="C90" s="3"/>
      <x:c r="D90" s="2"/>
      <x:c r="E90" s="4"/>
      <x:c r="F90" s="3"/>
      <x:c r="G90" s="5"/>
      <x:c r="H90" s="2"/>
      <x:c r="I90" s="2"/>
      <x:c r="J90" s="2"/>
      <x:c r="K90" s="3"/>
      <x:c r="L90" s="10"/>
      <x:c r="M90" s="2"/>
      <x:c r="N90" s="2"/>
      <x:c r="O90" s="2"/>
      <x:c r="P90" s="9"/>
      <x:c r="Q90" s="2"/>
      <x:c r="R90" s="2"/>
      <x:c r="S90" s="10"/>
    </x:row>
    <x:row r="91" ht="72" customHeight="1">
      <x:c r="A91" s="2"/>
      <x:c r="B91" s="2"/>
      <x:c r="C91" s="3"/>
      <x:c r="D91" s="2"/>
      <x:c r="E91" s="4"/>
      <x:c r="F91" s="3"/>
      <x:c r="G91" s="5"/>
      <x:c r="H91" s="2"/>
      <x:c r="I91" s="2"/>
      <x:c r="J91" s="2"/>
      <x:c r="K91" s="3"/>
      <x:c r="L91" s="10"/>
      <x:c r="M91" s="2"/>
      <x:c r="N91" s="2"/>
      <x:c r="O91" s="2"/>
      <x:c r="P91" s="9"/>
      <x:c r="Q91" s="2"/>
      <x:c r="R91" s="2"/>
      <x:c r="S91" s="10"/>
    </x:row>
    <x:row r="92" ht="72" customHeight="1">
      <x:c r="A92" s="2"/>
      <x:c r="B92" s="2"/>
      <x:c r="C92" s="3"/>
      <x:c r="D92" s="2"/>
      <x:c r="E92" s="4"/>
      <x:c r="F92" s="3"/>
      <x:c r="G92" s="5"/>
      <x:c r="H92" s="2"/>
      <x:c r="I92" s="2"/>
      <x:c r="J92" s="2"/>
      <x:c r="K92" s="3"/>
      <x:c r="L92" s="10"/>
      <x:c r="M92" s="2"/>
      <x:c r="N92" s="2"/>
      <x:c r="O92" s="2"/>
      <x:c r="P92" s="9"/>
      <x:c r="Q92" s="2"/>
      <x:c r="R92" s="2"/>
      <x:c r="S92" s="10"/>
    </x:row>
    <x:row r="93" ht="72" customHeight="1">
      <x:c r="A93" s="2"/>
      <x:c r="B93" s="2"/>
      <x:c r="C93" s="3"/>
      <x:c r="D93" s="2"/>
      <x:c r="E93" s="4"/>
      <x:c r="F93" s="3"/>
      <x:c r="G93" s="5"/>
      <x:c r="H93" s="2"/>
      <x:c r="I93" s="2"/>
      <x:c r="J93" s="2"/>
      <x:c r="K93" s="3"/>
      <x:c r="L93" s="10"/>
      <x:c r="M93" s="2"/>
      <x:c r="N93" s="2"/>
      <x:c r="O93" s="2"/>
      <x:c r="P93" s="9"/>
      <x:c r="Q93" s="2"/>
      <x:c r="R93" s="2"/>
      <x:c r="S93" s="10"/>
    </x:row>
    <x:row r="94" ht="72" customHeight="1">
      <x:c r="A94" s="2"/>
      <x:c r="B94" s="2"/>
      <x:c r="C94" s="3"/>
      <x:c r="D94" s="2"/>
      <x:c r="E94" s="4"/>
      <x:c r="F94" s="3"/>
      <x:c r="G94" s="5"/>
      <x:c r="H94" s="2"/>
      <x:c r="I94" s="2"/>
      <x:c r="J94" s="2"/>
      <x:c r="K94" s="3"/>
      <x:c r="L94" s="10"/>
      <x:c r="M94" s="2"/>
      <x:c r="N94" s="2"/>
      <x:c r="O94" s="2"/>
      <x:c r="P94" s="9"/>
      <x:c r="Q94" s="2"/>
      <x:c r="R94" s="2"/>
      <x:c r="S94" s="10"/>
    </x:row>
    <x:row r="95" ht="72" customHeight="1">
      <x:c r="A95" s="2"/>
      <x:c r="B95" s="2"/>
      <x:c r="C95" s="3"/>
      <x:c r="D95" s="2"/>
      <x:c r="E95" s="4"/>
      <x:c r="F95" s="3"/>
      <x:c r="G95" s="5"/>
      <x:c r="H95" s="2"/>
      <x:c r="I95" s="2"/>
      <x:c r="J95" s="2"/>
      <x:c r="K95" s="3"/>
      <x:c r="L95" s="10"/>
      <x:c r="M95" s="2"/>
      <x:c r="N95" s="2"/>
      <x:c r="O95" s="2"/>
      <x:c r="P95" s="9"/>
      <x:c r="Q95" s="2"/>
      <x:c r="R95" s="2"/>
      <x:c r="S95" s="10"/>
    </x:row>
    <x:row r="96" ht="72" customHeight="1">
      <x:c r="A96" s="2"/>
      <x:c r="B96" s="2"/>
      <x:c r="C96" s="3"/>
      <x:c r="D96" s="2"/>
      <x:c r="E96" s="4"/>
      <x:c r="F96" s="3"/>
      <x:c r="G96" s="5"/>
      <x:c r="H96" s="2"/>
      <x:c r="I96" s="2"/>
      <x:c r="J96" s="2"/>
      <x:c r="K96" s="3"/>
      <x:c r="L96" s="10"/>
      <x:c r="M96" s="2"/>
      <x:c r="N96" s="2"/>
      <x:c r="O96" s="2"/>
      <x:c r="P96" s="9"/>
      <x:c r="Q96" s="2"/>
      <x:c r="R96" s="2"/>
      <x:c r="S96" s="10"/>
    </x:row>
    <x:row r="97" ht="72" customHeight="1">
      <x:c r="A97" s="2"/>
      <x:c r="B97" s="2"/>
      <x:c r="C97" s="3"/>
      <x:c r="D97" s="2"/>
      <x:c r="E97" s="4"/>
      <x:c r="F97" s="3"/>
      <x:c r="G97" s="5"/>
      <x:c r="H97" s="2"/>
      <x:c r="I97" s="2"/>
      <x:c r="J97" s="2"/>
      <x:c r="K97" s="3"/>
      <x:c r="L97" s="10"/>
      <x:c r="M97" s="2"/>
      <x:c r="N97" s="2"/>
      <x:c r="O97" s="2"/>
      <x:c r="P97" s="9"/>
      <x:c r="Q97" s="2"/>
      <x:c r="R97" s="2"/>
      <x:c r="S97" s="10"/>
    </x:row>
    <x:row r="98" ht="72" customHeight="1">
      <x:c r="A98" s="2"/>
      <x:c r="B98" s="2"/>
      <x:c r="C98" s="3"/>
      <x:c r="D98" s="2"/>
      <x:c r="E98" s="4"/>
      <x:c r="F98" s="3"/>
      <x:c r="G98" s="5"/>
      <x:c r="H98" s="2"/>
      <x:c r="I98" s="2"/>
      <x:c r="J98" s="2"/>
      <x:c r="K98" s="3"/>
      <x:c r="L98" s="10"/>
      <x:c r="M98" s="2"/>
      <x:c r="N98" s="2"/>
      <x:c r="O98" s="2"/>
      <x:c r="P98" s="9"/>
      <x:c r="Q98" s="2"/>
      <x:c r="R98" s="2"/>
      <x:c r="S98" s="10"/>
    </x:row>
    <x:row r="99" ht="72" customHeight="1">
      <x:c r="A99" s="2"/>
      <x:c r="B99" s="2"/>
      <x:c r="C99" s="3"/>
      <x:c r="D99" s="2"/>
      <x:c r="E99" s="4"/>
      <x:c r="F99" s="3"/>
      <x:c r="G99" s="5"/>
      <x:c r="H99" s="2"/>
      <x:c r="I99" s="2"/>
      <x:c r="J99" s="2"/>
      <x:c r="K99" s="3"/>
      <x:c r="L99" s="10"/>
      <x:c r="M99" s="2"/>
      <x:c r="N99" s="2"/>
      <x:c r="O99" s="2"/>
      <x:c r="P99" s="9"/>
      <x:c r="Q99" s="2"/>
      <x:c r="R99" s="2"/>
      <x:c r="S99" s="10"/>
    </x:row>
    <x:row r="100" ht="72" customHeight="1">
      <x:c r="A100" s="2"/>
      <x:c r="B100" s="2"/>
      <x:c r="C100" s="3"/>
      <x:c r="D100" s="2"/>
      <x:c r="E100" s="4"/>
      <x:c r="F100" s="3"/>
      <x:c r="G100" s="5"/>
      <x:c r="H100" s="2"/>
      <x:c r="I100" s="2"/>
      <x:c r="J100" s="2"/>
      <x:c r="K100" s="3"/>
      <x:c r="L100" s="10"/>
      <x:c r="M100" s="2"/>
      <x:c r="N100" s="2"/>
      <x:c r="O100" s="2"/>
      <x:c r="P100" s="9"/>
      <x:c r="Q100" s="2"/>
      <x:c r="R100" s="2"/>
      <x:c r="S100" s="10"/>
    </x:row>
    <x:row r="101" ht="72" customHeight="1">
      <x:c r="A101" s="2"/>
      <x:c r="B101" s="2"/>
      <x:c r="C101" s="3"/>
      <x:c r="D101" s="2"/>
      <x:c r="E101" s="4"/>
      <x:c r="F101" s="3"/>
      <x:c r="G101" s="5"/>
      <x:c r="H101" s="2"/>
      <x:c r="I101" s="2"/>
      <x:c r="J101" s="2"/>
      <x:c r="K101" s="3"/>
      <x:c r="L101" s="10"/>
      <x:c r="M101" s="2"/>
      <x:c r="N101" s="2"/>
      <x:c r="O101" s="2"/>
      <x:c r="P101" s="9"/>
      <x:c r="Q101" s="2"/>
      <x:c r="R101" s="2"/>
      <x:c r="S101" s="10"/>
    </x:row>
    <x:row r="102" ht="72" customHeight="1">
      <x:c r="A102" s="2"/>
      <x:c r="B102" s="2"/>
      <x:c r="C102" s="3"/>
      <x:c r="D102" s="2"/>
      <x:c r="E102" s="4"/>
      <x:c r="F102" s="3"/>
      <x:c r="G102" s="5"/>
      <x:c r="H102" s="2"/>
      <x:c r="I102" s="2"/>
      <x:c r="J102" s="2"/>
      <x:c r="K102" s="3"/>
      <x:c r="L102" s="10"/>
      <x:c r="M102" s="2"/>
      <x:c r="N102" s="2"/>
      <x:c r="O102" s="2"/>
      <x:c r="P102" s="9"/>
      <x:c r="Q102" s="2"/>
      <x:c r="R102" s="2"/>
      <x:c r="S102" s="10"/>
    </x:row>
    <x:row r="103" ht="72" customHeight="1">
      <x:c r="A103" s="2"/>
      <x:c r="B103" s="2"/>
      <x:c r="C103" s="3"/>
      <x:c r="D103" s="2"/>
      <x:c r="E103" s="4"/>
      <x:c r="F103" s="3"/>
      <x:c r="G103" s="5"/>
      <x:c r="H103" s="2"/>
      <x:c r="I103" s="2"/>
      <x:c r="J103" s="2"/>
      <x:c r="K103" s="3"/>
      <x:c r="L103" s="10"/>
      <x:c r="M103" s="2"/>
      <x:c r="N103" s="2"/>
      <x:c r="O103" s="2"/>
      <x:c r="P103" s="9"/>
      <x:c r="Q103" s="2"/>
      <x:c r="R103" s="2"/>
      <x:c r="S103" s="10"/>
    </x:row>
    <x:row r="104" ht="72" customHeight="1">
      <x:c r="A104" s="2"/>
      <x:c r="B104" s="2"/>
      <x:c r="C104" s="3"/>
      <x:c r="D104" s="2"/>
      <x:c r="E104" s="4"/>
      <x:c r="F104" s="3"/>
      <x:c r="G104" s="5"/>
      <x:c r="H104" s="2"/>
      <x:c r="I104" s="2"/>
      <x:c r="J104" s="2"/>
      <x:c r="K104" s="3"/>
      <x:c r="L104" s="10"/>
      <x:c r="M104" s="2"/>
      <x:c r="N104" s="2"/>
      <x:c r="O104" s="2"/>
      <x:c r="P104" s="9"/>
      <x:c r="Q104" s="2"/>
      <x:c r="R104" s="2"/>
      <x:c r="S104" s="10"/>
    </x:row>
    <x:row r="105" ht="72" customHeight="1">
      <x:c r="A105" s="2"/>
      <x:c r="B105" s="2"/>
      <x:c r="C105" s="3"/>
      <x:c r="D105" s="2"/>
      <x:c r="E105" s="4"/>
      <x:c r="F105" s="3"/>
      <x:c r="G105" s="5"/>
      <x:c r="H105" s="2"/>
      <x:c r="I105" s="2"/>
      <x:c r="J105" s="2"/>
      <x:c r="K105" s="3"/>
      <x:c r="L105" s="10"/>
      <x:c r="M105" s="2"/>
      <x:c r="N105" s="2"/>
      <x:c r="O105" s="2"/>
      <x:c r="P105" s="9"/>
      <x:c r="Q105" s="2"/>
      <x:c r="R105" s="2"/>
      <x:c r="S105" s="10"/>
    </x:row>
    <x:row r="106" ht="72" customHeight="1">
      <x:c r="A106" s="2"/>
      <x:c r="B106" s="2"/>
      <x:c r="C106" s="3"/>
      <x:c r="D106" s="2"/>
      <x:c r="E106" s="4"/>
      <x:c r="F106" s="3"/>
      <x:c r="G106" s="5"/>
      <x:c r="H106" s="2"/>
      <x:c r="I106" s="2"/>
      <x:c r="J106" s="2"/>
      <x:c r="K106" s="3"/>
      <x:c r="L106" s="10"/>
      <x:c r="M106" s="2"/>
      <x:c r="N106" s="2"/>
      <x:c r="O106" s="2"/>
      <x:c r="P106" s="9"/>
      <x:c r="Q106" s="2"/>
      <x:c r="R106" s="2"/>
      <x:c r="S106" s="10"/>
    </x:row>
    <x:row r="107" ht="72" customHeight="1">
      <x:c r="A107" s="2"/>
      <x:c r="B107" s="2"/>
      <x:c r="C107" s="3"/>
      <x:c r="D107" s="2"/>
      <x:c r="E107" s="4"/>
      <x:c r="F107" s="3"/>
      <x:c r="G107" s="5"/>
      <x:c r="H107" s="2"/>
      <x:c r="I107" s="2"/>
      <x:c r="J107" s="2"/>
      <x:c r="K107" s="3"/>
      <x:c r="L107" s="10"/>
      <x:c r="M107" s="2"/>
      <x:c r="N107" s="2"/>
      <x:c r="O107" s="2"/>
      <x:c r="P107" s="9"/>
      <x:c r="Q107" s="2"/>
      <x:c r="R107" s="2"/>
      <x:c r="S107" s="10"/>
    </x:row>
    <x:row r="108" ht="72" customHeight="1">
      <x:c r="A108" s="2"/>
      <x:c r="B108" s="2"/>
      <x:c r="C108" s="3"/>
      <x:c r="D108" s="2"/>
      <x:c r="E108" s="4"/>
      <x:c r="F108" s="3"/>
      <x:c r="G108" s="5"/>
      <x:c r="H108" s="2"/>
      <x:c r="I108" s="2"/>
      <x:c r="J108" s="2"/>
      <x:c r="K108" s="3"/>
      <x:c r="L108" s="10"/>
      <x:c r="M108" s="2"/>
      <x:c r="N108" s="2"/>
      <x:c r="O108" s="2"/>
      <x:c r="P108" s="9"/>
      <x:c r="Q108" s="2"/>
      <x:c r="R108" s="2"/>
      <x:c r="S108" s="10"/>
    </x:row>
    <x:row r="109" ht="72" customHeight="1">
      <x:c r="A109" s="2"/>
      <x:c r="B109" s="2"/>
      <x:c r="C109" s="3"/>
      <x:c r="D109" s="2"/>
      <x:c r="E109" s="4"/>
      <x:c r="F109" s="3"/>
      <x:c r="G109" s="5"/>
      <x:c r="H109" s="2"/>
      <x:c r="I109" s="2"/>
      <x:c r="J109" s="2"/>
      <x:c r="K109" s="3"/>
      <x:c r="L109" s="10"/>
      <x:c r="M109" s="2"/>
      <x:c r="N109" s="2"/>
      <x:c r="O109" s="2"/>
      <x:c r="P109" s="9"/>
      <x:c r="Q109" s="2"/>
      <x:c r="R109" s="2"/>
      <x:c r="S109" s="10"/>
    </x:row>
    <x:row r="110" ht="72" customHeight="1">
      <x:c r="A110" s="2"/>
      <x:c r="B110" s="2"/>
      <x:c r="C110" s="3"/>
      <x:c r="D110" s="2"/>
      <x:c r="E110" s="4"/>
      <x:c r="F110" s="3"/>
      <x:c r="G110" s="5"/>
      <x:c r="H110" s="2"/>
      <x:c r="I110" s="2"/>
      <x:c r="J110" s="2"/>
      <x:c r="K110" s="3"/>
      <x:c r="L110" s="10"/>
      <x:c r="M110" s="2"/>
      <x:c r="N110" s="2"/>
      <x:c r="O110" s="2"/>
      <x:c r="P110" s="9"/>
      <x:c r="Q110" s="2"/>
      <x:c r="R110" s="2"/>
      <x:c r="S110" s="10"/>
    </x:row>
    <x:row r="111" ht="72" customHeight="1">
      <x:c r="A111" s="2"/>
      <x:c r="B111" s="2"/>
      <x:c r="C111" s="3"/>
      <x:c r="D111" s="2"/>
      <x:c r="E111" s="4"/>
      <x:c r="F111" s="3"/>
      <x:c r="G111" s="5"/>
      <x:c r="H111" s="2"/>
      <x:c r="I111" s="2"/>
      <x:c r="J111" s="2"/>
      <x:c r="K111" s="3"/>
      <x:c r="L111" s="10"/>
      <x:c r="M111" s="2"/>
      <x:c r="N111" s="2"/>
      <x:c r="O111" s="2"/>
      <x:c r="P111" s="9"/>
      <x:c r="Q111" s="2"/>
      <x:c r="R111" s="2"/>
      <x:c r="S111" s="10"/>
    </x:row>
    <x:row r="112" ht="72" customHeight="1">
      <x:c r="A112" s="2"/>
      <x:c r="B112" s="2"/>
      <x:c r="C112" s="3"/>
      <x:c r="D112" s="2"/>
      <x:c r="E112" s="4"/>
      <x:c r="F112" s="3"/>
      <x:c r="G112" s="5"/>
      <x:c r="H112" s="2"/>
      <x:c r="I112" s="2"/>
      <x:c r="J112" s="2"/>
      <x:c r="K112" s="3"/>
      <x:c r="L112" s="10"/>
      <x:c r="M112" s="2"/>
      <x:c r="N112" s="2"/>
      <x:c r="O112" s="2"/>
      <x:c r="P112" s="9"/>
      <x:c r="Q112" s="2"/>
      <x:c r="R112" s="2"/>
      <x:c r="S112" s="10"/>
    </x:row>
    <x:row r="113" ht="72" customHeight="1">
      <x:c r="A113" s="2"/>
      <x:c r="B113" s="2"/>
      <x:c r="C113" s="3"/>
      <x:c r="D113" s="2"/>
      <x:c r="E113" s="4"/>
      <x:c r="F113" s="3"/>
      <x:c r="G113" s="5"/>
      <x:c r="H113" s="2"/>
      <x:c r="I113" s="2"/>
      <x:c r="J113" s="2"/>
      <x:c r="K113" s="3"/>
      <x:c r="L113" s="10"/>
      <x:c r="M113" s="2"/>
      <x:c r="N113" s="2"/>
      <x:c r="O113" s="2"/>
      <x:c r="P113" s="9"/>
      <x:c r="Q113" s="2"/>
      <x:c r="R113" s="2"/>
      <x:c r="S113" s="10"/>
    </x:row>
    <x:row r="114" ht="72" customHeight="1">
      <x:c r="A114" s="2"/>
      <x:c r="B114" s="2"/>
      <x:c r="C114" s="3"/>
      <x:c r="D114" s="2"/>
      <x:c r="E114" s="4"/>
      <x:c r="F114" s="3"/>
      <x:c r="G114" s="5"/>
      <x:c r="H114" s="2"/>
      <x:c r="I114" s="2"/>
      <x:c r="J114" s="2"/>
      <x:c r="K114" s="3"/>
      <x:c r="L114" s="10"/>
      <x:c r="M114" s="2"/>
      <x:c r="N114" s="2"/>
      <x:c r="O114" s="2"/>
      <x:c r="P114" s="9"/>
      <x:c r="Q114" s="2"/>
      <x:c r="R114" s="2"/>
      <x:c r="S114" s="10"/>
    </x:row>
    <x:row r="115" ht="72" customHeight="1">
      <x:c r="A115" s="2"/>
      <x:c r="B115" s="2"/>
      <x:c r="C115" s="3"/>
      <x:c r="D115" s="2"/>
      <x:c r="E115" s="4"/>
      <x:c r="F115" s="3"/>
      <x:c r="G115" s="5"/>
      <x:c r="H115" s="2"/>
      <x:c r="I115" s="2"/>
      <x:c r="J115" s="2"/>
      <x:c r="K115" s="3"/>
      <x:c r="L115" s="10"/>
      <x:c r="M115" s="2"/>
      <x:c r="N115" s="2"/>
      <x:c r="O115" s="2"/>
      <x:c r="P115" s="9"/>
      <x:c r="Q115" s="2"/>
      <x:c r="R115" s="2"/>
      <x:c r="S115" s="10"/>
    </x:row>
    <x:row r="116" ht="72" customHeight="1">
      <x:c r="A116" s="2"/>
      <x:c r="B116" s="2"/>
      <x:c r="C116" s="3"/>
      <x:c r="D116" s="2"/>
      <x:c r="E116" s="4"/>
      <x:c r="F116" s="3"/>
      <x:c r="G116" s="5"/>
      <x:c r="H116" s="2"/>
      <x:c r="I116" s="2"/>
      <x:c r="J116" s="2"/>
      <x:c r="K116" s="3"/>
      <x:c r="L116" s="10"/>
      <x:c r="M116" s="2"/>
      <x:c r="N116" s="2"/>
      <x:c r="O116" s="2"/>
      <x:c r="P116" s="9"/>
      <x:c r="Q116" s="2"/>
      <x:c r="R116" s="2"/>
      <x:c r="S116" s="10"/>
    </x:row>
    <x:row r="117" ht="72" customHeight="1">
      <x:c r="A117" s="2"/>
      <x:c r="B117" s="2"/>
      <x:c r="C117" s="3"/>
      <x:c r="D117" s="2"/>
      <x:c r="E117" s="4"/>
      <x:c r="F117" s="3"/>
      <x:c r="G117" s="5"/>
      <x:c r="H117" s="2"/>
      <x:c r="I117" s="2"/>
      <x:c r="J117" s="2"/>
      <x:c r="K117" s="3"/>
      <x:c r="L117" s="10"/>
      <x:c r="M117" s="2"/>
      <x:c r="N117" s="2"/>
      <x:c r="O117" s="2"/>
      <x:c r="P117" s="9"/>
      <x:c r="Q117" s="2"/>
      <x:c r="R117" s="2"/>
      <x:c r="S117" s="10"/>
    </x:row>
    <x:row r="118" ht="72" customHeight="1">
      <x:c r="A118" s="2"/>
      <x:c r="B118" s="2"/>
      <x:c r="C118" s="3"/>
      <x:c r="D118" s="2"/>
      <x:c r="E118" s="4"/>
      <x:c r="F118" s="3"/>
      <x:c r="G118" s="5"/>
      <x:c r="H118" s="2"/>
      <x:c r="I118" s="2"/>
      <x:c r="J118" s="2"/>
      <x:c r="K118" s="3"/>
      <x:c r="L118" s="10"/>
      <x:c r="M118" s="2"/>
      <x:c r="N118" s="2"/>
      <x:c r="O118" s="2"/>
      <x:c r="P118" s="9"/>
      <x:c r="Q118" s="2"/>
      <x:c r="R118" s="2"/>
      <x:c r="S118" s="10"/>
    </x:row>
    <x:row r="119" ht="72" customHeight="1">
      <x:c r="A119" s="2"/>
      <x:c r="B119" s="2"/>
      <x:c r="C119" s="3"/>
      <x:c r="D119" s="2"/>
      <x:c r="E119" s="4"/>
      <x:c r="F119" s="3"/>
      <x:c r="G119" s="5"/>
      <x:c r="H119" s="2"/>
      <x:c r="I119" s="2"/>
      <x:c r="J119" s="2"/>
      <x:c r="K119" s="3"/>
      <x:c r="L119" s="10"/>
      <x:c r="M119" s="2"/>
      <x:c r="N119" s="2"/>
      <x:c r="O119" s="2"/>
      <x:c r="P119" s="9"/>
      <x:c r="Q119" s="2"/>
      <x:c r="R119" s="2"/>
      <x:c r="S119" s="10"/>
    </x:row>
    <x:row r="120" ht="72" customHeight="1">
      <x:c r="A120" s="2"/>
      <x:c r="B120" s="2"/>
      <x:c r="C120" s="3"/>
      <x:c r="D120" s="2"/>
      <x:c r="E120" s="4"/>
      <x:c r="F120" s="3"/>
      <x:c r="G120" s="5"/>
      <x:c r="H120" s="2"/>
      <x:c r="I120" s="2"/>
      <x:c r="J120" s="2"/>
      <x:c r="K120" s="3"/>
      <x:c r="L120" s="10"/>
      <x:c r="M120" s="2"/>
      <x:c r="N120" s="2"/>
      <x:c r="O120" s="2"/>
      <x:c r="P120" s="9"/>
      <x:c r="Q120" s="2"/>
      <x:c r="R120" s="2"/>
      <x:c r="S120" s="10"/>
    </x:row>
    <x:row r="121" ht="72" customHeight="1">
      <x:c r="A121" s="2"/>
      <x:c r="B121" s="2"/>
      <x:c r="C121" s="3"/>
      <x:c r="D121" s="2"/>
      <x:c r="E121" s="4"/>
      <x:c r="F121" s="3"/>
      <x:c r="G121" s="5"/>
      <x:c r="H121" s="2"/>
      <x:c r="I121" s="2"/>
      <x:c r="J121" s="2"/>
      <x:c r="K121" s="3"/>
      <x:c r="L121" s="10"/>
      <x:c r="M121" s="2"/>
      <x:c r="N121" s="2"/>
      <x:c r="O121" s="2"/>
      <x:c r="P121" s="9"/>
      <x:c r="Q121" s="2"/>
      <x:c r="R121" s="2"/>
      <x:c r="S121" s="10"/>
    </x:row>
    <x:row r="122" ht="72" customHeight="1">
      <x:c r="A122" s="2"/>
      <x:c r="B122" s="2"/>
      <x:c r="C122" s="3"/>
      <x:c r="D122" s="2"/>
      <x:c r="E122" s="4"/>
      <x:c r="F122" s="3"/>
      <x:c r="G122" s="5"/>
      <x:c r="H122" s="2"/>
      <x:c r="I122" s="2"/>
      <x:c r="J122" s="2"/>
      <x:c r="K122" s="3"/>
      <x:c r="L122" s="10"/>
      <x:c r="M122" s="2"/>
      <x:c r="N122" s="2"/>
      <x:c r="O122" s="2"/>
      <x:c r="P122" s="9"/>
      <x:c r="Q122" s="2"/>
      <x:c r="R122" s="2"/>
      <x:c r="S122" s="10"/>
    </x:row>
    <x:row r="123" ht="72" customHeight="1">
      <x:c r="A123" s="2"/>
      <x:c r="B123" s="2"/>
      <x:c r="C123" s="3"/>
      <x:c r="D123" s="2"/>
      <x:c r="E123" s="4"/>
      <x:c r="F123" s="3"/>
      <x:c r="G123" s="5"/>
      <x:c r="H123" s="2"/>
      <x:c r="I123" s="2"/>
      <x:c r="J123" s="2"/>
      <x:c r="K123" s="3"/>
      <x:c r="L123" s="10"/>
      <x:c r="M123" s="2"/>
      <x:c r="N123" s="2"/>
      <x:c r="O123" s="2"/>
      <x:c r="P123" s="9"/>
      <x:c r="Q123" s="2"/>
      <x:c r="R123" s="2"/>
      <x:c r="S123" s="10"/>
    </x:row>
    <x:row r="124" ht="72" customHeight="1">
      <x:c r="A124" s="2"/>
      <x:c r="B124" s="2"/>
      <x:c r="C124" s="3"/>
      <x:c r="D124" s="2"/>
      <x:c r="E124" s="4"/>
      <x:c r="F124" s="3"/>
      <x:c r="G124" s="5"/>
      <x:c r="H124" s="2"/>
      <x:c r="I124" s="2"/>
      <x:c r="J124" s="2"/>
      <x:c r="K124" s="3"/>
      <x:c r="L124" s="10"/>
      <x:c r="M124" s="2"/>
      <x:c r="N124" s="2"/>
      <x:c r="O124" s="2"/>
      <x:c r="P124" s="9"/>
      <x:c r="Q124" s="2"/>
      <x:c r="R124" s="2"/>
      <x:c r="S124" s="10"/>
    </x:row>
    <x:row r="125" ht="72" customHeight="1">
      <x:c r="A125" s="2"/>
      <x:c r="B125" s="2"/>
      <x:c r="C125" s="3"/>
      <x:c r="D125" s="2"/>
      <x:c r="E125" s="4"/>
      <x:c r="F125" s="3"/>
      <x:c r="G125" s="5"/>
      <x:c r="H125" s="2"/>
      <x:c r="I125" s="2"/>
      <x:c r="J125" s="2"/>
      <x:c r="K125" s="3"/>
      <x:c r="L125" s="10"/>
      <x:c r="M125" s="2"/>
      <x:c r="N125" s="2"/>
      <x:c r="O125" s="2"/>
      <x:c r="P125" s="9"/>
      <x:c r="Q125" s="2"/>
      <x:c r="R125" s="2"/>
      <x:c r="S125" s="10"/>
    </x:row>
    <x:row r="126" ht="72" customHeight="1">
      <x:c r="A126" s="2"/>
      <x:c r="B126" s="2"/>
      <x:c r="C126" s="3"/>
      <x:c r="D126" s="2"/>
      <x:c r="E126" s="4"/>
      <x:c r="F126" s="3"/>
      <x:c r="G126" s="5"/>
      <x:c r="H126" s="2"/>
      <x:c r="I126" s="2"/>
      <x:c r="J126" s="2"/>
      <x:c r="K126" s="3"/>
      <x:c r="L126" s="10"/>
      <x:c r="M126" s="2"/>
      <x:c r="N126" s="2"/>
      <x:c r="O126" s="2"/>
      <x:c r="P126" s="9"/>
      <x:c r="Q126" s="2"/>
      <x:c r="R126" s="2"/>
      <x:c r="S126" s="10"/>
    </x:row>
    <x:row r="127" ht="72" customHeight="1">
      <x:c r="A127" s="2"/>
      <x:c r="B127" s="2"/>
      <x:c r="C127" s="3"/>
      <x:c r="D127" s="2"/>
      <x:c r="E127" s="4"/>
      <x:c r="F127" s="3"/>
      <x:c r="G127" s="5"/>
      <x:c r="H127" s="2"/>
      <x:c r="I127" s="2"/>
      <x:c r="J127" s="2"/>
      <x:c r="K127" s="3"/>
      <x:c r="L127" s="10"/>
      <x:c r="M127" s="2"/>
      <x:c r="N127" s="2"/>
      <x:c r="O127" s="2"/>
      <x:c r="P127" s="9"/>
      <x:c r="Q127" s="2"/>
      <x:c r="R127" s="2"/>
      <x:c r="S127" s="10"/>
    </x:row>
    <x:row r="128" ht="72" customHeight="1">
      <x:c r="A128" s="2"/>
      <x:c r="B128" s="2"/>
      <x:c r="C128" s="3"/>
      <x:c r="D128" s="2"/>
      <x:c r="E128" s="4"/>
      <x:c r="F128" s="3"/>
      <x:c r="G128" s="5"/>
      <x:c r="H128" s="2"/>
      <x:c r="I128" s="2"/>
      <x:c r="J128" s="2"/>
      <x:c r="K128" s="3"/>
      <x:c r="L128" s="10"/>
      <x:c r="M128" s="2"/>
      <x:c r="N128" s="2"/>
      <x:c r="O128" s="2"/>
      <x:c r="P128" s="9"/>
      <x:c r="Q128" s="2"/>
      <x:c r="R128" s="2"/>
      <x:c r="S128" s="10"/>
    </x:row>
    <x:row r="129" ht="72" customHeight="1">
      <x:c r="A129" s="2"/>
      <x:c r="B129" s="2"/>
      <x:c r="C129" s="3"/>
      <x:c r="D129" s="2"/>
      <x:c r="E129" s="4"/>
      <x:c r="F129" s="3"/>
      <x:c r="G129" s="5"/>
      <x:c r="H129" s="2"/>
      <x:c r="I129" s="2"/>
      <x:c r="J129" s="2"/>
      <x:c r="K129" s="3"/>
      <x:c r="L129" s="10"/>
      <x:c r="M129" s="2"/>
      <x:c r="N129" s="2"/>
      <x:c r="O129" s="2"/>
      <x:c r="P129" s="9"/>
      <x:c r="Q129" s="2"/>
      <x:c r="R129" s="2"/>
      <x:c r="S129" s="10"/>
    </x:row>
    <x:row r="130" ht="72" customHeight="1">
      <x:c r="A130" s="2"/>
      <x:c r="B130" s="2"/>
      <x:c r="C130" s="3"/>
      <x:c r="D130" s="2"/>
      <x:c r="E130" s="4"/>
      <x:c r="F130" s="3"/>
      <x:c r="G130" s="5"/>
      <x:c r="H130" s="2"/>
      <x:c r="I130" s="2"/>
      <x:c r="J130" s="2"/>
      <x:c r="K130" s="3"/>
      <x:c r="L130" s="10"/>
      <x:c r="M130" s="2"/>
      <x:c r="N130" s="2"/>
      <x:c r="O130" s="2"/>
      <x:c r="P130" s="9"/>
      <x:c r="Q130" s="2"/>
      <x:c r="R130" s="2"/>
      <x:c r="S130" s="10"/>
    </x:row>
    <x:row r="131" ht="72" customHeight="1">
      <x:c r="A131" s="2"/>
      <x:c r="B131" s="2"/>
      <x:c r="C131" s="3"/>
      <x:c r="D131" s="2"/>
      <x:c r="E131" s="4"/>
      <x:c r="F131" s="3"/>
      <x:c r="G131" s="5"/>
      <x:c r="H131" s="2"/>
      <x:c r="I131" s="2"/>
      <x:c r="J131" s="2"/>
      <x:c r="K131" s="3"/>
      <x:c r="L131" s="10"/>
      <x:c r="M131" s="2"/>
      <x:c r="N131" s="2"/>
      <x:c r="O131" s="2"/>
      <x:c r="P131" s="9"/>
      <x:c r="Q131" s="2"/>
      <x:c r="R131" s="2"/>
      <x:c r="S131" s="10"/>
    </x:row>
    <x:row r="132" ht="72" customHeight="1">
      <x:c r="A132" s="2"/>
      <x:c r="B132" s="2"/>
      <x:c r="C132" s="3"/>
      <x:c r="D132" s="2"/>
      <x:c r="E132" s="4"/>
      <x:c r="F132" s="3"/>
      <x:c r="G132" s="5"/>
      <x:c r="H132" s="2"/>
      <x:c r="I132" s="2"/>
      <x:c r="J132" s="2"/>
      <x:c r="K132" s="3"/>
      <x:c r="L132" s="10"/>
      <x:c r="M132" s="2"/>
      <x:c r="N132" s="2"/>
      <x:c r="O132" s="2"/>
      <x:c r="P132" s="9"/>
      <x:c r="Q132" s="2"/>
      <x:c r="R132" s="2"/>
      <x:c r="S132" s="10"/>
    </x:row>
    <x:row r="133" ht="72" customHeight="1">
      <x:c r="A133" s="2"/>
      <x:c r="B133" s="2"/>
      <x:c r="C133" s="3"/>
      <x:c r="D133" s="2"/>
      <x:c r="E133" s="4"/>
      <x:c r="F133" s="3"/>
      <x:c r="G133" s="5"/>
      <x:c r="H133" s="2"/>
      <x:c r="I133" s="2"/>
      <x:c r="J133" s="2"/>
      <x:c r="K133" s="3"/>
      <x:c r="L133" s="10"/>
      <x:c r="M133" s="2"/>
      <x:c r="N133" s="2"/>
      <x:c r="O133" s="2"/>
      <x:c r="P133" s="9"/>
      <x:c r="Q133" s="2"/>
      <x:c r="R133" s="2"/>
      <x:c r="S133" s="10"/>
    </x:row>
    <x:row r="134" ht="72" customHeight="1">
      <x:c r="A134" s="2"/>
      <x:c r="B134" s="2"/>
      <x:c r="C134" s="3"/>
      <x:c r="D134" s="2"/>
      <x:c r="E134" s="4"/>
      <x:c r="F134" s="3"/>
      <x:c r="G134" s="5"/>
      <x:c r="H134" s="2"/>
      <x:c r="I134" s="2"/>
      <x:c r="J134" s="2"/>
      <x:c r="K134" s="3"/>
      <x:c r="L134" s="10"/>
      <x:c r="M134" s="2"/>
      <x:c r="N134" s="2"/>
      <x:c r="O134" s="2"/>
      <x:c r="P134" s="9"/>
      <x:c r="Q134" s="2"/>
      <x:c r="R134" s="2"/>
      <x:c r="S134" s="10"/>
    </x:row>
    <x:row r="135" ht="72" customHeight="1">
      <x:c r="A135" s="2"/>
      <x:c r="B135" s="2"/>
      <x:c r="C135" s="3"/>
      <x:c r="D135" s="2"/>
      <x:c r="E135" s="4"/>
      <x:c r="F135" s="3"/>
      <x:c r="G135" s="5"/>
      <x:c r="H135" s="2"/>
      <x:c r="I135" s="2"/>
      <x:c r="J135" s="2"/>
      <x:c r="K135" s="3"/>
      <x:c r="L135" s="10"/>
      <x:c r="M135" s="2"/>
      <x:c r="N135" s="2"/>
      <x:c r="O135" s="2"/>
      <x:c r="P135" s="9"/>
      <x:c r="Q135" s="2"/>
      <x:c r="R135" s="2"/>
      <x:c r="S135" s="10"/>
    </x:row>
    <x:row r="136" ht="72" customHeight="1">
      <x:c r="A136" s="2"/>
      <x:c r="B136" s="2"/>
      <x:c r="C136" s="3"/>
      <x:c r="D136" s="2"/>
      <x:c r="E136" s="4"/>
      <x:c r="F136" s="3"/>
      <x:c r="G136" s="5"/>
      <x:c r="H136" s="2"/>
      <x:c r="I136" s="2"/>
      <x:c r="J136" s="2"/>
      <x:c r="K136" s="3"/>
      <x:c r="L136" s="10"/>
      <x:c r="M136" s="2"/>
      <x:c r="N136" s="2"/>
      <x:c r="O136" s="2"/>
      <x:c r="P136" s="9"/>
      <x:c r="Q136" s="2"/>
      <x:c r="R136" s="2"/>
      <x:c r="S136" s="10"/>
    </x:row>
    <x:row r="137" ht="72" customHeight="1">
      <x:c r="A137" s="2"/>
      <x:c r="B137" s="2"/>
      <x:c r="C137" s="3"/>
      <x:c r="D137" s="2"/>
      <x:c r="E137" s="4"/>
      <x:c r="F137" s="3"/>
      <x:c r="G137" s="5"/>
      <x:c r="H137" s="2"/>
      <x:c r="I137" s="2"/>
      <x:c r="J137" s="2"/>
      <x:c r="K137" s="3"/>
      <x:c r="L137" s="10"/>
      <x:c r="M137" s="2"/>
      <x:c r="N137" s="2"/>
      <x:c r="O137" s="2"/>
      <x:c r="P137" s="9"/>
      <x:c r="Q137" s="2"/>
      <x:c r="R137" s="2"/>
      <x:c r="S137" s="10"/>
    </x:row>
    <x:row r="138" ht="72" customHeight="1">
      <x:c r="A138" s="2"/>
      <x:c r="B138" s="2"/>
      <x:c r="C138" s="3"/>
      <x:c r="D138" s="2"/>
      <x:c r="E138" s="4"/>
      <x:c r="F138" s="3"/>
      <x:c r="G138" s="5"/>
      <x:c r="H138" s="2"/>
      <x:c r="I138" s="2"/>
      <x:c r="J138" s="2"/>
      <x:c r="K138" s="3"/>
      <x:c r="L138" s="10"/>
      <x:c r="M138" s="2"/>
      <x:c r="N138" s="2"/>
      <x:c r="O138" s="2"/>
      <x:c r="P138" s="9"/>
      <x:c r="Q138" s="2"/>
      <x:c r="R138" s="2"/>
      <x:c r="S138" s="10"/>
    </x:row>
    <x:row r="139" ht="72" customHeight="1">
      <x:c r="A139" s="2"/>
      <x:c r="B139" s="2"/>
      <x:c r="C139" s="3"/>
      <x:c r="D139" s="2"/>
      <x:c r="E139" s="4"/>
      <x:c r="F139" s="3"/>
      <x:c r="G139" s="5"/>
      <x:c r="H139" s="2"/>
      <x:c r="I139" s="2"/>
      <x:c r="J139" s="2"/>
      <x:c r="K139" s="3"/>
      <x:c r="L139" s="10"/>
      <x:c r="M139" s="2"/>
      <x:c r="N139" s="2"/>
      <x:c r="O139" s="2"/>
      <x:c r="P139" s="9"/>
      <x:c r="Q139" s="2"/>
      <x:c r="R139" s="2"/>
      <x:c r="S139" s="10"/>
    </x:row>
    <x:row r="140" ht="72" customHeight="1">
      <x:c r="A140" s="2"/>
      <x:c r="B140" s="2"/>
      <x:c r="C140" s="3"/>
      <x:c r="D140" s="2"/>
      <x:c r="E140" s="4"/>
      <x:c r="F140" s="3"/>
      <x:c r="G140" s="5"/>
      <x:c r="H140" s="2"/>
      <x:c r="I140" s="2"/>
      <x:c r="J140" s="2"/>
      <x:c r="K140" s="3"/>
      <x:c r="L140" s="10"/>
      <x:c r="M140" s="2"/>
      <x:c r="N140" s="2"/>
      <x:c r="O140" s="2"/>
      <x:c r="P140" s="9"/>
      <x:c r="Q140" s="2"/>
      <x:c r="R140" s="2"/>
      <x:c r="S140" s="10"/>
    </x:row>
    <x:row r="141" ht="72" customHeight="1">
      <x:c r="A141" s="2"/>
      <x:c r="B141" s="2"/>
      <x:c r="C141" s="3"/>
      <x:c r="D141" s="2"/>
      <x:c r="E141" s="4"/>
      <x:c r="F141" s="3"/>
      <x:c r="G141" s="5"/>
      <x:c r="H141" s="2"/>
      <x:c r="I141" s="2"/>
      <x:c r="J141" s="2"/>
      <x:c r="K141" s="3"/>
      <x:c r="L141" s="10"/>
      <x:c r="M141" s="2"/>
      <x:c r="N141" s="2"/>
      <x:c r="O141" s="2"/>
      <x:c r="P141" s="9"/>
      <x:c r="Q141" s="2"/>
      <x:c r="R141" s="2"/>
      <x:c r="S141" s="10"/>
    </x:row>
    <x:row r="142" ht="72" customHeight="1">
      <x:c r="A142" s="2"/>
      <x:c r="B142" s="2"/>
      <x:c r="C142" s="3"/>
      <x:c r="D142" s="2"/>
      <x:c r="E142" s="4"/>
      <x:c r="F142" s="3"/>
      <x:c r="G142" s="5"/>
      <x:c r="H142" s="2"/>
      <x:c r="I142" s="2"/>
      <x:c r="J142" s="2"/>
      <x:c r="K142" s="3"/>
      <x:c r="L142" s="10"/>
      <x:c r="M142" s="2"/>
      <x:c r="N142" s="2"/>
      <x:c r="O142" s="2"/>
      <x:c r="P142" s="9"/>
      <x:c r="Q142" s="2"/>
      <x:c r="R142" s="2"/>
      <x:c r="S142" s="10"/>
    </x:row>
    <x:row r="143" ht="72" customHeight="1">
      <x:c r="A143" s="2"/>
      <x:c r="B143" s="2"/>
      <x:c r="C143" s="3"/>
      <x:c r="D143" s="2"/>
      <x:c r="E143" s="4"/>
      <x:c r="F143" s="3"/>
      <x:c r="G143" s="5"/>
      <x:c r="H143" s="2"/>
      <x:c r="I143" s="2"/>
      <x:c r="J143" s="2"/>
      <x:c r="K143" s="3"/>
      <x:c r="L143" s="10"/>
      <x:c r="M143" s="2"/>
      <x:c r="N143" s="2"/>
      <x:c r="O143" s="2"/>
      <x:c r="P143" s="9"/>
      <x:c r="Q143" s="2"/>
      <x:c r="R143" s="2"/>
      <x:c r="S143" s="10"/>
    </x:row>
    <x:row r="144" ht="72" customHeight="1">
      <x:c r="A144" s="2"/>
      <x:c r="B144" s="2"/>
      <x:c r="C144" s="3"/>
      <x:c r="D144" s="2"/>
      <x:c r="E144" s="4"/>
      <x:c r="F144" s="3"/>
      <x:c r="G144" s="5"/>
      <x:c r="H144" s="2"/>
      <x:c r="I144" s="2"/>
      <x:c r="J144" s="2"/>
      <x:c r="K144" s="3"/>
      <x:c r="L144" s="10"/>
      <x:c r="M144" s="2"/>
      <x:c r="N144" s="2"/>
      <x:c r="O144" s="2"/>
      <x:c r="P144" s="9"/>
      <x:c r="Q144" s="2"/>
      <x:c r="R144" s="2"/>
      <x:c r="S144" s="10"/>
    </x:row>
    <x:row r="145" ht="72" customHeight="1">
      <x:c r="A145" s="2"/>
      <x:c r="B145" s="2"/>
      <x:c r="C145" s="3"/>
      <x:c r="D145" s="2"/>
      <x:c r="E145" s="4"/>
      <x:c r="F145" s="3"/>
      <x:c r="G145" s="5"/>
      <x:c r="H145" s="2"/>
      <x:c r="I145" s="2"/>
      <x:c r="J145" s="2"/>
      <x:c r="K145" s="3"/>
      <x:c r="L145" s="10"/>
      <x:c r="M145" s="2"/>
      <x:c r="N145" s="2"/>
      <x:c r="O145" s="2"/>
      <x:c r="P145" s="9"/>
      <x:c r="Q145" s="2"/>
      <x:c r="R145" s="2"/>
      <x:c r="S145" s="10"/>
    </x:row>
    <x:row r="146" ht="72" customHeight="1">
      <x:c r="A146" s="2"/>
      <x:c r="B146" s="2"/>
      <x:c r="C146" s="3"/>
      <x:c r="D146" s="2"/>
      <x:c r="E146" s="4"/>
      <x:c r="F146" s="3"/>
      <x:c r="G146" s="5"/>
      <x:c r="H146" s="2"/>
      <x:c r="I146" s="2"/>
      <x:c r="J146" s="2"/>
      <x:c r="K146" s="3"/>
      <x:c r="L146" s="10"/>
      <x:c r="M146" s="2"/>
      <x:c r="N146" s="2"/>
      <x:c r="O146" s="2"/>
      <x:c r="P146" s="9"/>
      <x:c r="Q146" s="2"/>
      <x:c r="R146" s="2"/>
      <x:c r="S146" s="10"/>
    </x:row>
    <x:row r="147" ht="72" customHeight="1">
      <x:c r="A147" s="2"/>
      <x:c r="B147" s="2"/>
      <x:c r="C147" s="3"/>
      <x:c r="D147" s="2"/>
      <x:c r="E147" s="4"/>
      <x:c r="F147" s="3"/>
      <x:c r="G147" s="5"/>
      <x:c r="H147" s="2"/>
      <x:c r="I147" s="2"/>
      <x:c r="J147" s="2"/>
      <x:c r="K147" s="3"/>
      <x:c r="L147" s="10"/>
      <x:c r="M147" s="2"/>
      <x:c r="N147" s="2"/>
      <x:c r="O147" s="2"/>
      <x:c r="P147" s="9"/>
      <x:c r="Q147" s="2"/>
      <x:c r="R147" s="2"/>
      <x:c r="S147" s="10"/>
    </x:row>
    <x:row r="148" ht="72" customHeight="1">
      <x:c r="A148" s="2"/>
      <x:c r="B148" s="2"/>
      <x:c r="C148" s="3"/>
      <x:c r="D148" s="2"/>
      <x:c r="E148" s="4"/>
      <x:c r="F148" s="3"/>
      <x:c r="G148" s="5"/>
      <x:c r="H148" s="2"/>
      <x:c r="I148" s="2"/>
      <x:c r="J148" s="2"/>
      <x:c r="K148" s="3"/>
      <x:c r="L148" s="10"/>
      <x:c r="M148" s="2"/>
      <x:c r="N148" s="2"/>
      <x:c r="O148" s="2"/>
      <x:c r="P148" s="9"/>
      <x:c r="Q148" s="2"/>
      <x:c r="R148" s="2"/>
      <x:c r="S148" s="10"/>
    </x:row>
    <x:row r="149" ht="72" customHeight="1">
      <x:c r="A149" s="2"/>
      <x:c r="B149" s="2"/>
      <x:c r="C149" s="3"/>
      <x:c r="D149" s="2"/>
      <x:c r="E149" s="4"/>
      <x:c r="F149" s="3"/>
      <x:c r="G149" s="5"/>
      <x:c r="H149" s="2"/>
      <x:c r="I149" s="2"/>
      <x:c r="J149" s="2"/>
      <x:c r="K149" s="3"/>
      <x:c r="L149" s="10"/>
      <x:c r="M149" s="2"/>
      <x:c r="N149" s="2"/>
      <x:c r="O149" s="2"/>
      <x:c r="P149" s="9"/>
      <x:c r="Q149" s="2"/>
      <x:c r="R149" s="2"/>
      <x:c r="S149" s="10"/>
    </x:row>
    <x:row r="150" ht="72" customHeight="1">
      <x:c r="A150" s="2"/>
      <x:c r="B150" s="2"/>
      <x:c r="C150" s="3"/>
      <x:c r="D150" s="2"/>
      <x:c r="E150" s="4"/>
      <x:c r="F150" s="3"/>
      <x:c r="G150" s="5"/>
      <x:c r="H150" s="2"/>
      <x:c r="I150" s="2"/>
      <x:c r="J150" s="2"/>
      <x:c r="K150" s="3"/>
      <x:c r="L150" s="10"/>
      <x:c r="M150" s="2"/>
      <x:c r="N150" s="2"/>
      <x:c r="O150" s="2"/>
      <x:c r="P150" s="9"/>
      <x:c r="Q150" s="2"/>
      <x:c r="R150" s="2"/>
      <x:c r="S150" s="10"/>
    </x:row>
    <x:row r="151" ht="72" customHeight="1">
      <x:c r="A151" s="2"/>
      <x:c r="B151" s="2"/>
      <x:c r="C151" s="3"/>
      <x:c r="D151" s="2"/>
      <x:c r="E151" s="12"/>
      <x:c r="F151" s="7"/>
      <x:c r="G151" s="11"/>
      <x:c r="H151" s="7"/>
      <x:c r="I151" s="7"/>
      <x:c r="J151" s="7"/>
      <x:c r="K151" s="7"/>
      <x:c r="L151" s="13"/>
      <x:c r="M151" s="7"/>
      <x:c r="N151" s="2"/>
      <x:c r="O151" s="2"/>
      <x:c r="P151" s="9"/>
      <x:c r="Q151" s="7"/>
      <x:c r="R151" s="2"/>
      <x:c r="S151" s="10"/>
    </x:row>
    <x:row r="152" ht="72" customHeight="1">
      <x:c r="A152" s="2"/>
      <x:c r="B152" s="2"/>
      <x:c r="C152" s="3"/>
      <x:c r="D152" s="2"/>
      <x:c r="E152" s="12"/>
      <x:c r="F152" s="7"/>
      <x:c r="G152" s="11"/>
      <x:c r="H152" s="7"/>
      <x:c r="I152" s="7"/>
      <x:c r="J152" s="7"/>
      <x:c r="K152" s="7"/>
      <x:c r="L152" s="13"/>
      <x:c r="M152" s="7"/>
      <x:c r="N152" s="2"/>
      <x:c r="O152" s="2"/>
      <x:c r="P152" s="9"/>
      <x:c r="Q152" s="7"/>
      <x:c r="R152" s="2"/>
      <x:c r="S152" s="10"/>
    </x:row>
    <x:row r="153" ht="72" customHeight="1">
      <x:c r="A153" s="2"/>
      <x:c r="B153" s="2"/>
      <x:c r="C153" s="3"/>
      <x:c r="D153" s="2"/>
      <x:c r="E153" s="4"/>
      <x:c r="F153" s="3"/>
      <x:c r="G153" s="5"/>
      <x:c r="H153" s="2"/>
      <x:c r="I153" s="2"/>
      <x:c r="J153" s="2"/>
      <x:c r="K153" s="3"/>
      <x:c r="L153" s="10"/>
      <x:c r="M153" s="2"/>
      <x:c r="N153" s="2"/>
      <x:c r="O153" s="2"/>
      <x:c r="P153" s="9"/>
      <x:c r="Q153" s="2"/>
      <x:c r="R153" s="2"/>
      <x:c r="S153" s="10"/>
    </x:row>
    <x:row r="154" ht="72" customHeight="1">
      <x:c r="A154" s="2"/>
      <x:c r="B154" s="2"/>
      <x:c r="C154" s="3"/>
      <x:c r="D154" s="2"/>
      <x:c r="E154" s="4"/>
      <x:c r="F154" s="3"/>
      <x:c r="G154" s="5"/>
      <x:c r="H154" s="2"/>
      <x:c r="I154" s="2"/>
      <x:c r="J154" s="2"/>
      <x:c r="K154" s="3"/>
      <x:c r="L154" s="10"/>
      <x:c r="M154" s="2"/>
      <x:c r="N154" s="2"/>
      <x:c r="O154" s="2"/>
      <x:c r="P154" s="9"/>
      <x:c r="Q154" s="2"/>
      <x:c r="R154" s="2"/>
      <x:c r="S154" s="10"/>
    </x:row>
    <x:row r="155" ht="72" customHeight="1">
      <x:c r="A155" s="2"/>
      <x:c r="B155" s="2"/>
      <x:c r="C155" s="3"/>
      <x:c r="D155" s="2"/>
      <x:c r="E155" s="4"/>
      <x:c r="F155" s="3"/>
      <x:c r="G155" s="5"/>
      <x:c r="H155" s="2"/>
      <x:c r="I155" s="2"/>
      <x:c r="J155" s="2"/>
      <x:c r="K155" s="3"/>
      <x:c r="L155" s="10"/>
      <x:c r="M155" s="2"/>
      <x:c r="N155" s="2"/>
      <x:c r="O155" s="2"/>
      <x:c r="P155" s="9"/>
      <x:c r="Q155" s="2"/>
      <x:c r="R155" s="2"/>
      <x:c r="S155" s="10"/>
    </x:row>
    <x:row r="156" ht="72" customHeight="1">
      <x:c r="A156" s="2"/>
      <x:c r="B156" s="2"/>
      <x:c r="C156" s="3"/>
      <x:c r="D156" s="2"/>
      <x:c r="E156" s="4"/>
      <x:c r="F156" s="3"/>
      <x:c r="G156" s="5"/>
      <x:c r="H156" s="2"/>
      <x:c r="I156" s="2"/>
      <x:c r="J156" s="2"/>
      <x:c r="K156" s="3"/>
      <x:c r="L156" s="10"/>
      <x:c r="M156" s="2"/>
      <x:c r="N156" s="2"/>
      <x:c r="O156" s="2"/>
      <x:c r="P156" s="9"/>
      <x:c r="Q156" s="2"/>
      <x:c r="R156" s="2"/>
      <x:c r="S156" s="10"/>
    </x:row>
    <x:row r="157" ht="72" customHeight="1">
      <x:c r="A157" s="2"/>
      <x:c r="B157" s="2"/>
      <x:c r="C157" s="3"/>
      <x:c r="D157" s="2"/>
      <x:c r="E157" s="4"/>
      <x:c r="F157" s="3"/>
      <x:c r="G157" s="5"/>
      <x:c r="H157" s="2"/>
      <x:c r="I157" s="2"/>
      <x:c r="J157" s="2"/>
      <x:c r="K157" s="3"/>
      <x:c r="L157" s="10"/>
      <x:c r="M157" s="2"/>
      <x:c r="N157" s="2"/>
      <x:c r="O157" s="2"/>
      <x:c r="P157" s="9"/>
      <x:c r="Q157" s="2"/>
      <x:c r="R157" s="2"/>
      <x:c r="S157" s="10"/>
    </x:row>
    <x:row r="158" ht="72" customHeight="1">
      <x:c r="A158" s="2"/>
      <x:c r="B158" s="2"/>
      <x:c r="C158" s="3"/>
      <x:c r="D158" s="2"/>
      <x:c r="E158" s="4"/>
      <x:c r="F158" s="3"/>
      <x:c r="G158" s="5"/>
      <x:c r="H158" s="2"/>
      <x:c r="I158" s="2"/>
      <x:c r="J158" s="2"/>
      <x:c r="K158" s="3"/>
      <x:c r="L158" s="10"/>
      <x:c r="M158" s="2"/>
      <x:c r="N158" s="2"/>
      <x:c r="O158" s="2"/>
      <x:c r="P158" s="9"/>
      <x:c r="Q158" s="2"/>
      <x:c r="R158" s="2"/>
      <x:c r="S158" s="10"/>
    </x:row>
    <x:row r="159" ht="72" customHeight="1">
      <x:c r="A159" s="2"/>
      <x:c r="B159" s="2"/>
      <x:c r="C159" s="3"/>
      <x:c r="D159" s="2"/>
      <x:c r="E159" s="4"/>
      <x:c r="F159" s="3"/>
      <x:c r="G159" s="5"/>
      <x:c r="H159" s="2"/>
      <x:c r="I159" s="2"/>
      <x:c r="J159" s="2"/>
      <x:c r="K159" s="3"/>
      <x:c r="L159" s="10"/>
      <x:c r="M159" s="2"/>
      <x:c r="N159" s="2"/>
      <x:c r="O159" s="2"/>
      <x:c r="P159" s="9"/>
      <x:c r="Q159" s="2"/>
      <x:c r="R159" s="2"/>
      <x:c r="S159" s="10"/>
    </x:row>
    <x:row r="160" ht="72" customHeight="1">
      <x:c r="A160" s="2"/>
      <x:c r="B160" s="2"/>
      <x:c r="C160" s="3"/>
      <x:c r="D160" s="2"/>
      <x:c r="E160" s="4"/>
      <x:c r="F160" s="3"/>
      <x:c r="G160" s="5"/>
      <x:c r="H160" s="2"/>
      <x:c r="I160" s="2"/>
      <x:c r="J160" s="2"/>
      <x:c r="K160" s="3"/>
      <x:c r="L160" s="10"/>
      <x:c r="M160" s="2"/>
      <x:c r="N160" s="2"/>
      <x:c r="O160" s="2"/>
      <x:c r="P160" s="9"/>
      <x:c r="Q160" s="2"/>
      <x:c r="R160" s="2"/>
      <x:c r="S160" s="10"/>
    </x:row>
    <x:row r="161" ht="72" customHeight="1">
      <x:c r="A161" s="2"/>
      <x:c r="B161" s="2"/>
      <x:c r="C161" s="3"/>
      <x:c r="D161" s="2"/>
      <x:c r="E161" s="4"/>
      <x:c r="F161" s="3"/>
      <x:c r="G161" s="5"/>
      <x:c r="H161" s="2"/>
      <x:c r="I161" s="2"/>
      <x:c r="J161" s="2"/>
      <x:c r="K161" s="3"/>
      <x:c r="L161" s="10"/>
      <x:c r="M161" s="2"/>
      <x:c r="N161" s="2"/>
      <x:c r="O161" s="2"/>
      <x:c r="P161" s="9"/>
      <x:c r="Q161" s="2"/>
      <x:c r="R161" s="2"/>
      <x:c r="S161" s="10"/>
    </x:row>
    <x:row r="162" ht="72" customHeight="1">
      <x:c r="A162" s="2"/>
      <x:c r="B162" s="2"/>
      <x:c r="C162" s="3"/>
      <x:c r="D162" s="2"/>
      <x:c r="E162" s="4"/>
      <x:c r="F162" s="3"/>
      <x:c r="G162" s="5"/>
      <x:c r="H162" s="2"/>
      <x:c r="I162" s="2"/>
      <x:c r="J162" s="2"/>
      <x:c r="K162" s="3"/>
      <x:c r="L162" s="10"/>
      <x:c r="M162" s="2"/>
      <x:c r="N162" s="2"/>
      <x:c r="O162" s="2"/>
      <x:c r="P162" s="9"/>
      <x:c r="Q162" s="2"/>
      <x:c r="R162" s="2"/>
      <x:c r="S162" s="10"/>
    </x:row>
    <x:row r="163" ht="72" customHeight="1">
      <x:c r="A163" s="2"/>
      <x:c r="B163" s="2"/>
      <x:c r="C163" s="3"/>
      <x:c r="D163" s="2"/>
      <x:c r="E163" s="4"/>
      <x:c r="F163" s="3"/>
      <x:c r="G163" s="5"/>
      <x:c r="H163" s="2"/>
      <x:c r="I163" s="2"/>
      <x:c r="J163" s="2"/>
      <x:c r="K163" s="3"/>
      <x:c r="L163" s="10"/>
      <x:c r="M163" s="2"/>
      <x:c r="N163" s="2"/>
      <x:c r="O163" s="2"/>
      <x:c r="P163" s="9"/>
      <x:c r="Q163" s="2"/>
      <x:c r="R163" s="2"/>
      <x:c r="S163" s="10"/>
    </x:row>
    <x:row r="164" ht="72" customHeight="1">
      <x:c r="A164" s="2"/>
      <x:c r="B164" s="2"/>
      <x:c r="C164" s="3"/>
      <x:c r="D164" s="2"/>
      <x:c r="E164" s="4"/>
      <x:c r="F164" s="3"/>
      <x:c r="G164" s="5"/>
      <x:c r="H164" s="2"/>
      <x:c r="I164" s="2"/>
      <x:c r="J164" s="2"/>
      <x:c r="K164" s="3"/>
      <x:c r="L164" s="10"/>
      <x:c r="M164" s="2"/>
      <x:c r="N164" s="2"/>
      <x:c r="O164" s="2"/>
      <x:c r="P164" s="9"/>
      <x:c r="Q164" s="2"/>
      <x:c r="R164" s="2"/>
      <x:c r="S164" s="10"/>
    </x:row>
    <x:row r="165" ht="72" customHeight="1">
      <x:c r="A165" s="2"/>
      <x:c r="B165" s="2"/>
      <x:c r="C165" s="3"/>
      <x:c r="D165" s="2"/>
      <x:c r="E165" s="4"/>
      <x:c r="F165" s="3"/>
      <x:c r="G165" s="5"/>
      <x:c r="H165" s="2"/>
      <x:c r="I165" s="2"/>
      <x:c r="J165" s="2"/>
      <x:c r="K165" s="3"/>
      <x:c r="L165" s="10"/>
      <x:c r="M165" s="2"/>
      <x:c r="N165" s="2"/>
      <x:c r="O165" s="2"/>
      <x:c r="P165" s="9"/>
      <x:c r="Q165" s="2"/>
      <x:c r="R165" s="2"/>
      <x:c r="S165" s="10"/>
    </x:row>
    <x:row r="166" ht="72" customHeight="1">
      <x:c r="A166" s="2"/>
      <x:c r="B166" s="2"/>
      <x:c r="C166" s="3"/>
      <x:c r="D166" s="2"/>
      <x:c r="E166" s="4"/>
      <x:c r="F166" s="3"/>
      <x:c r="G166" s="5"/>
      <x:c r="H166" s="2"/>
      <x:c r="I166" s="2"/>
      <x:c r="J166" s="2"/>
      <x:c r="K166" s="3"/>
      <x:c r="L166" s="10"/>
      <x:c r="M166" s="2"/>
      <x:c r="N166" s="2"/>
      <x:c r="O166" s="2"/>
      <x:c r="P166" s="9"/>
      <x:c r="Q166" s="2"/>
      <x:c r="R166" s="2"/>
      <x:c r="S166" s="10"/>
    </x:row>
    <x:row r="167" ht="72" customHeight="1">
      <x:c r="A167" s="2"/>
      <x:c r="B167" s="2"/>
      <x:c r="C167" s="3"/>
      <x:c r="D167" s="2"/>
      <x:c r="E167" s="4"/>
      <x:c r="F167" s="3"/>
      <x:c r="G167" s="5"/>
      <x:c r="H167" s="2"/>
      <x:c r="I167" s="2"/>
      <x:c r="J167" s="2"/>
      <x:c r="K167" s="3"/>
      <x:c r="L167" s="10"/>
      <x:c r="M167" s="2"/>
      <x:c r="N167" s="2"/>
      <x:c r="O167" s="2"/>
      <x:c r="P167" s="9"/>
      <x:c r="Q167" s="2"/>
      <x:c r="R167" s="2"/>
      <x:c r="S167" s="10"/>
    </x:row>
    <x:row r="168" ht="72" customHeight="1">
      <x:c r="A168" s="2"/>
      <x:c r="B168" s="2"/>
      <x:c r="C168" s="3"/>
      <x:c r="D168" s="2"/>
      <x:c r="E168" s="4"/>
      <x:c r="F168" s="3"/>
      <x:c r="G168" s="5"/>
      <x:c r="H168" s="2"/>
      <x:c r="I168" s="2"/>
      <x:c r="J168" s="2"/>
      <x:c r="K168" s="3"/>
      <x:c r="L168" s="10"/>
      <x:c r="M168" s="2"/>
      <x:c r="N168" s="2"/>
      <x:c r="O168" s="2"/>
      <x:c r="P168" s="9"/>
      <x:c r="Q168" s="2"/>
      <x:c r="R168" s="2"/>
      <x:c r="S168" s="10"/>
    </x:row>
    <x:row r="169" ht="72" customHeight="1">
      <x:c r="A169" s="2"/>
      <x:c r="B169" s="2"/>
      <x:c r="C169" s="3"/>
      <x:c r="D169" s="2"/>
      <x:c r="E169" s="4"/>
      <x:c r="F169" s="3"/>
      <x:c r="G169" s="5"/>
      <x:c r="H169" s="2"/>
      <x:c r="I169" s="2"/>
      <x:c r="J169" s="2"/>
      <x:c r="K169" s="3"/>
      <x:c r="L169" s="10"/>
      <x:c r="M169" s="2"/>
      <x:c r="N169" s="2"/>
      <x:c r="O169" s="2"/>
      <x:c r="P169" s="9"/>
      <x:c r="Q169" s="2"/>
      <x:c r="R169" s="2"/>
      <x:c r="S169" s="10"/>
    </x:row>
    <x:row r="170" ht="72" customHeight="1">
      <x:c r="A170" s="2"/>
      <x:c r="B170" s="2"/>
      <x:c r="C170" s="3"/>
      <x:c r="D170" s="2"/>
      <x:c r="E170" s="4"/>
      <x:c r="F170" s="3"/>
      <x:c r="G170" s="5"/>
      <x:c r="H170" s="2"/>
      <x:c r="I170" s="2"/>
      <x:c r="J170" s="2"/>
      <x:c r="K170" s="3"/>
      <x:c r="L170" s="10"/>
      <x:c r="M170" s="2"/>
      <x:c r="N170" s="2"/>
      <x:c r="O170" s="2"/>
      <x:c r="P170" s="9"/>
      <x:c r="Q170" s="2"/>
      <x:c r="R170" s="2"/>
      <x:c r="S170" s="10"/>
    </x:row>
    <x:row r="171" ht="72" customHeight="1">
      <x:c r="A171" s="2"/>
      <x:c r="B171" s="2"/>
      <x:c r="C171" s="3"/>
      <x:c r="D171" s="2"/>
      <x:c r="E171" s="4"/>
      <x:c r="F171" s="3"/>
      <x:c r="G171" s="5"/>
      <x:c r="H171" s="2"/>
      <x:c r="I171" s="2"/>
      <x:c r="J171" s="2"/>
      <x:c r="K171" s="3"/>
      <x:c r="L171" s="10"/>
      <x:c r="M171" s="2"/>
      <x:c r="N171" s="2"/>
      <x:c r="O171" s="2"/>
      <x:c r="P171" s="9"/>
      <x:c r="Q171" s="2"/>
      <x:c r="R171" s="2"/>
      <x:c r="S171" s="10"/>
    </x:row>
    <x:row r="172" ht="72" customHeight="1">
      <x:c r="A172" s="2"/>
      <x:c r="B172" s="2"/>
      <x:c r="C172" s="3"/>
      <x:c r="D172" s="2"/>
      <x:c r="E172" s="4"/>
      <x:c r="F172" s="3"/>
      <x:c r="G172" s="5"/>
      <x:c r="H172" s="2"/>
      <x:c r="I172" s="2"/>
      <x:c r="J172" s="2"/>
      <x:c r="K172" s="3"/>
      <x:c r="L172" s="10"/>
      <x:c r="M172" s="2"/>
      <x:c r="N172" s="2"/>
      <x:c r="O172" s="2"/>
      <x:c r="P172" s="9"/>
      <x:c r="Q172" s="2"/>
      <x:c r="R172" s="2"/>
      <x:c r="S172" s="10"/>
    </x:row>
    <x:row r="173" ht="72" customHeight="1">
      <x:c r="A173" s="2"/>
      <x:c r="B173" s="2"/>
      <x:c r="C173" s="3"/>
      <x:c r="D173" s="2"/>
      <x:c r="E173" s="4"/>
      <x:c r="F173" s="3"/>
      <x:c r="G173" s="5"/>
      <x:c r="H173" s="2"/>
      <x:c r="I173" s="2"/>
      <x:c r="J173" s="2"/>
      <x:c r="K173" s="3"/>
      <x:c r="L173" s="10"/>
      <x:c r="M173" s="2"/>
      <x:c r="N173" s="2"/>
      <x:c r="O173" s="2"/>
      <x:c r="P173" s="9"/>
      <x:c r="Q173" s="2"/>
      <x:c r="R173" s="2"/>
      <x:c r="S173" s="10"/>
    </x:row>
    <x:row r="174" ht="72" customHeight="1">
      <x:c r="A174" s="2"/>
      <x:c r="B174" s="2"/>
      <x:c r="C174" s="3"/>
      <x:c r="D174" s="2"/>
      <x:c r="E174" s="4"/>
      <x:c r="F174" s="3"/>
      <x:c r="G174" s="5"/>
      <x:c r="H174" s="2"/>
      <x:c r="I174" s="2"/>
      <x:c r="J174" s="2"/>
      <x:c r="K174" s="3"/>
      <x:c r="L174" s="10"/>
      <x:c r="M174" s="2"/>
      <x:c r="N174" s="2"/>
      <x:c r="O174" s="2"/>
      <x:c r="P174" s="9"/>
      <x:c r="Q174" s="2"/>
      <x:c r="R174" s="2"/>
      <x:c r="S174" s="10"/>
    </x:row>
    <x:row r="175" ht="72" customHeight="1">
      <x:c r="A175" s="2"/>
      <x:c r="B175" s="2"/>
      <x:c r="C175" s="3"/>
      <x:c r="D175" s="2"/>
      <x:c r="E175" s="4"/>
      <x:c r="F175" s="3"/>
      <x:c r="G175" s="5"/>
      <x:c r="H175" s="2"/>
      <x:c r="I175" s="2"/>
      <x:c r="J175" s="2"/>
      <x:c r="K175" s="3"/>
      <x:c r="L175" s="10"/>
      <x:c r="M175" s="2"/>
      <x:c r="N175" s="2"/>
      <x:c r="O175" s="2"/>
      <x:c r="P175" s="9"/>
      <x:c r="Q175" s="2"/>
      <x:c r="R175" s="2"/>
      <x:c r="S175" s="10"/>
    </x:row>
    <x:row r="176" ht="72" customHeight="1">
      <x:c r="A176" s="2"/>
      <x:c r="B176" s="2"/>
      <x:c r="C176" s="3"/>
      <x:c r="D176" s="2"/>
      <x:c r="E176" s="4"/>
      <x:c r="F176" s="3"/>
      <x:c r="G176" s="5"/>
      <x:c r="H176" s="2"/>
      <x:c r="I176" s="2"/>
      <x:c r="J176" s="2"/>
      <x:c r="K176" s="3"/>
      <x:c r="L176" s="10"/>
      <x:c r="M176" s="2"/>
      <x:c r="N176" s="2"/>
      <x:c r="O176" s="2"/>
      <x:c r="P176" s="9"/>
      <x:c r="Q176" s="2"/>
      <x:c r="R176" s="2"/>
      <x:c r="S176" s="10"/>
    </x:row>
    <x:row r="177" ht="72" customHeight="1">
      <x:c r="A177" s="2"/>
      <x:c r="B177" s="2"/>
      <x:c r="C177" s="3"/>
      <x:c r="D177" s="2"/>
      <x:c r="E177" s="4"/>
      <x:c r="F177" s="3"/>
      <x:c r="G177" s="5"/>
      <x:c r="H177" s="2"/>
      <x:c r="I177" s="2"/>
      <x:c r="J177" s="2"/>
      <x:c r="K177" s="3"/>
      <x:c r="L177" s="10"/>
      <x:c r="M177" s="2"/>
      <x:c r="N177" s="2"/>
      <x:c r="O177" s="2"/>
      <x:c r="P177" s="9"/>
      <x:c r="Q177" s="2"/>
      <x:c r="R177" s="2"/>
      <x:c r="S177" s="10"/>
    </x:row>
    <x:row r="178" ht="72" customHeight="1">
      <x:c r="A178" s="2"/>
      <x:c r="B178" s="2"/>
      <x:c r="C178" s="3"/>
      <x:c r="D178" s="2"/>
      <x:c r="E178" s="4"/>
      <x:c r="F178" s="3"/>
      <x:c r="G178" s="5"/>
      <x:c r="H178" s="2"/>
      <x:c r="I178" s="2"/>
      <x:c r="J178" s="2"/>
      <x:c r="K178" s="3"/>
      <x:c r="L178" s="10"/>
      <x:c r="M178" s="2"/>
      <x:c r="N178" s="2"/>
      <x:c r="O178" s="2"/>
      <x:c r="P178" s="9"/>
      <x:c r="Q178" s="2"/>
      <x:c r="R178" s="2"/>
      <x:c r="S178" s="10"/>
    </x:row>
    <x:row r="179" ht="72" customHeight="1">
      <x:c r="A179" s="2"/>
      <x:c r="B179" s="2"/>
      <x:c r="C179" s="3"/>
      <x:c r="D179" s="2"/>
      <x:c r="E179" s="4"/>
      <x:c r="F179" s="3"/>
      <x:c r="G179" s="5"/>
      <x:c r="H179" s="2"/>
      <x:c r="I179" s="2"/>
      <x:c r="J179" s="2"/>
      <x:c r="K179" s="3"/>
      <x:c r="L179" s="10"/>
      <x:c r="M179" s="2"/>
      <x:c r="N179" s="2"/>
      <x:c r="O179" s="2"/>
      <x:c r="P179" s="9"/>
      <x:c r="Q179" s="2"/>
      <x:c r="R179" s="2"/>
      <x:c r="S179" s="10"/>
    </x:row>
    <x:row r="180" ht="72" customHeight="1">
      <x:c r="A180" s="2"/>
      <x:c r="B180" s="2"/>
      <x:c r="C180" s="3"/>
      <x:c r="D180" s="2"/>
      <x:c r="E180" s="4"/>
      <x:c r="F180" s="3"/>
      <x:c r="G180" s="5"/>
      <x:c r="H180" s="2"/>
      <x:c r="I180" s="2"/>
      <x:c r="J180" s="2"/>
      <x:c r="K180" s="3"/>
      <x:c r="L180" s="10"/>
      <x:c r="M180" s="2"/>
      <x:c r="N180" s="2"/>
      <x:c r="O180" s="2"/>
      <x:c r="P180" s="9"/>
      <x:c r="Q180" s="2"/>
      <x:c r="R180" s="2"/>
      <x:c r="S180" s="10"/>
    </x:row>
    <x:row r="181" ht="72" customHeight="1">
      <x:c r="A181" s="2"/>
      <x:c r="B181" s="2"/>
      <x:c r="C181" s="3"/>
      <x:c r="D181" s="2"/>
      <x:c r="E181" s="4"/>
      <x:c r="F181" s="3"/>
      <x:c r="G181" s="5"/>
      <x:c r="H181" s="2"/>
      <x:c r="I181" s="2"/>
      <x:c r="J181" s="2"/>
      <x:c r="K181" s="3"/>
      <x:c r="L181" s="10"/>
      <x:c r="M181" s="2"/>
      <x:c r="N181" s="2"/>
      <x:c r="O181" s="2"/>
      <x:c r="P181" s="9"/>
      <x:c r="Q181" s="2"/>
      <x:c r="R181" s="2"/>
      <x:c r="S181" s="10"/>
    </x:row>
    <x:row r="182" ht="72" customHeight="1">
      <x:c r="A182" s="2"/>
      <x:c r="B182" s="2"/>
      <x:c r="C182" s="3"/>
      <x:c r="D182" s="2"/>
      <x:c r="E182" s="4"/>
      <x:c r="F182" s="3"/>
      <x:c r="G182" s="5"/>
      <x:c r="H182" s="2"/>
      <x:c r="I182" s="2"/>
      <x:c r="J182" s="2"/>
      <x:c r="K182" s="3"/>
      <x:c r="L182" s="10"/>
      <x:c r="M182" s="2"/>
      <x:c r="N182" s="2"/>
      <x:c r="O182" s="2"/>
      <x:c r="P182" s="9"/>
      <x:c r="Q182" s="2"/>
      <x:c r="R182" s="2"/>
      <x:c r="S182" s="10"/>
    </x:row>
    <x:row r="183" ht="72" customHeight="1">
      <x:c r="A183" s="2"/>
      <x:c r="B183" s="2"/>
      <x:c r="C183" s="3"/>
      <x:c r="D183" s="2"/>
      <x:c r="E183" s="4"/>
      <x:c r="F183" s="3"/>
      <x:c r="G183" s="5"/>
      <x:c r="H183" s="2"/>
      <x:c r="I183" s="2"/>
      <x:c r="J183" s="2"/>
      <x:c r="K183" s="3"/>
      <x:c r="L183" s="10"/>
      <x:c r="M183" s="2"/>
      <x:c r="N183" s="2"/>
      <x:c r="O183" s="2"/>
      <x:c r="P183" s="9"/>
      <x:c r="Q183" s="2"/>
      <x:c r="R183" s="2"/>
      <x:c r="S183" s="10"/>
    </x:row>
    <x:row r="184" ht="72" customHeight="1">
      <x:c r="A184" s="2"/>
      <x:c r="B184" s="2"/>
      <x:c r="C184" s="3"/>
      <x:c r="D184" s="2"/>
      <x:c r="E184" s="4"/>
      <x:c r="F184" s="3"/>
      <x:c r="G184" s="5"/>
      <x:c r="H184" s="2"/>
      <x:c r="I184" s="2"/>
      <x:c r="J184" s="2"/>
      <x:c r="K184" s="3"/>
      <x:c r="L184" s="10"/>
      <x:c r="M184" s="2"/>
      <x:c r="N184" s="2"/>
      <x:c r="O184" s="2"/>
      <x:c r="P184" s="9"/>
      <x:c r="Q184" s="2"/>
      <x:c r="R184" s="2"/>
      <x:c r="S184" s="10"/>
    </x:row>
    <x:row r="185" ht="72" customHeight="1">
      <x:c r="A185" s="2"/>
      <x:c r="B185" s="2"/>
      <x:c r="C185" s="3"/>
      <x:c r="D185" s="2"/>
      <x:c r="E185" s="4"/>
      <x:c r="F185" s="3"/>
      <x:c r="G185" s="5"/>
      <x:c r="H185" s="2"/>
      <x:c r="I185" s="2"/>
      <x:c r="J185" s="2"/>
      <x:c r="K185" s="3"/>
      <x:c r="L185" s="10"/>
      <x:c r="M185" s="2"/>
      <x:c r="N185" s="2"/>
      <x:c r="O185" s="2"/>
      <x:c r="P185" s="9"/>
      <x:c r="Q185" s="2"/>
      <x:c r="R185" s="2"/>
      <x:c r="S185" s="10"/>
    </x:row>
    <x:row r="186" ht="72" customHeight="1">
      <x:c r="A186" s="2"/>
      <x:c r="B186" s="2"/>
      <x:c r="C186" s="3"/>
      <x:c r="D186" s="2"/>
      <x:c r="E186" s="4"/>
      <x:c r="F186" s="3"/>
      <x:c r="G186" s="5"/>
      <x:c r="H186" s="2"/>
      <x:c r="I186" s="2"/>
      <x:c r="J186" s="2"/>
      <x:c r="K186" s="3"/>
      <x:c r="L186" s="10"/>
      <x:c r="M186" s="2"/>
      <x:c r="N186" s="2"/>
      <x:c r="O186" s="2"/>
      <x:c r="P186" s="9"/>
      <x:c r="Q186" s="2"/>
      <x:c r="R186" s="2"/>
      <x:c r="S186" s="10"/>
    </x:row>
    <x:row r="187" ht="72" customHeight="1">
      <x:c r="A187" s="2"/>
      <x:c r="B187" s="2"/>
      <x:c r="C187" s="3"/>
      <x:c r="D187" s="2"/>
      <x:c r="E187" s="4"/>
      <x:c r="F187" s="3"/>
      <x:c r="G187" s="5"/>
      <x:c r="H187" s="2"/>
      <x:c r="I187" s="2"/>
      <x:c r="J187" s="2"/>
      <x:c r="K187" s="3"/>
      <x:c r="L187" s="10"/>
      <x:c r="M187" s="2"/>
      <x:c r="N187" s="2"/>
      <x:c r="O187" s="2"/>
      <x:c r="P187" s="9"/>
      <x:c r="Q187" s="2"/>
      <x:c r="R187" s="2"/>
      <x:c r="S187" s="10"/>
    </x:row>
    <x:row r="188" ht="72" customHeight="1">
      <x:c r="A188" s="2"/>
      <x:c r="B188" s="2"/>
      <x:c r="C188" s="3"/>
      <x:c r="D188" s="2"/>
      <x:c r="E188" s="4"/>
      <x:c r="F188" s="3"/>
      <x:c r="G188" s="5"/>
      <x:c r="H188" s="2"/>
      <x:c r="I188" s="2"/>
      <x:c r="J188" s="2"/>
      <x:c r="K188" s="3"/>
      <x:c r="L188" s="10"/>
      <x:c r="M188" s="2"/>
      <x:c r="N188" s="2"/>
      <x:c r="O188" s="2"/>
      <x:c r="P188" s="9"/>
      <x:c r="Q188" s="2"/>
      <x:c r="R188" s="2"/>
      <x:c r="S188" s="10"/>
    </x:row>
    <x:row r="189" ht="72" customHeight="1">
      <x:c r="A189" s="2"/>
      <x:c r="B189" s="2"/>
      <x:c r="C189" s="3"/>
      <x:c r="D189" s="2"/>
      <x:c r="E189" s="4"/>
      <x:c r="F189" s="3"/>
      <x:c r="G189" s="5"/>
      <x:c r="H189" s="2"/>
      <x:c r="I189" s="2"/>
      <x:c r="J189" s="2"/>
      <x:c r="K189" s="3"/>
      <x:c r="L189" s="10"/>
      <x:c r="M189" s="2"/>
      <x:c r="N189" s="2"/>
      <x:c r="O189" s="2"/>
      <x:c r="P189" s="9"/>
      <x:c r="Q189" s="2"/>
      <x:c r="R189" s="2"/>
      <x:c r="S189" s="10"/>
    </x:row>
    <x:row r="190" ht="72" customHeight="1">
      <x:c r="A190" s="2"/>
      <x:c r="B190" s="2"/>
      <x:c r="C190" s="3"/>
      <x:c r="D190" s="2"/>
      <x:c r="E190" s="4"/>
      <x:c r="F190" s="3"/>
      <x:c r="G190" s="5"/>
      <x:c r="H190" s="2"/>
      <x:c r="I190" s="2"/>
      <x:c r="J190" s="2"/>
      <x:c r="K190" s="3"/>
      <x:c r="L190" s="10"/>
      <x:c r="M190" s="2"/>
      <x:c r="N190" s="2"/>
      <x:c r="O190" s="2"/>
      <x:c r="P190" s="9"/>
      <x:c r="Q190" s="2"/>
      <x:c r="R190" s="2"/>
      <x:c r="S190" s="10"/>
    </x:row>
    <x:row r="191" ht="72" customHeight="1">
      <x:c r="A191" s="2"/>
      <x:c r="B191" s="2"/>
      <x:c r="C191" s="3"/>
      <x:c r="D191" s="2"/>
      <x:c r="E191" s="4"/>
      <x:c r="F191" s="3"/>
      <x:c r="G191" s="5"/>
      <x:c r="H191" s="2"/>
      <x:c r="I191" s="2"/>
      <x:c r="J191" s="2"/>
      <x:c r="K191" s="3"/>
      <x:c r="L191" s="10"/>
      <x:c r="M191" s="2"/>
      <x:c r="N191" s="2"/>
      <x:c r="O191" s="2"/>
      <x:c r="P191" s="9"/>
      <x:c r="Q191" s="2"/>
      <x:c r="R191" s="2"/>
      <x:c r="S191" s="10"/>
    </x:row>
    <x:row r="192" ht="72" customHeight="1">
      <x:c r="A192" s="2"/>
      <x:c r="B192" s="2"/>
      <x:c r="C192" s="3"/>
      <x:c r="D192" s="2"/>
      <x:c r="E192" s="4"/>
      <x:c r="F192" s="3"/>
      <x:c r="G192" s="5"/>
      <x:c r="H192" s="2"/>
      <x:c r="I192" s="2"/>
      <x:c r="J192" s="2"/>
      <x:c r="K192" s="3"/>
      <x:c r="L192" s="10"/>
      <x:c r="M192" s="2"/>
      <x:c r="N192" s="2"/>
      <x:c r="O192" s="2"/>
      <x:c r="P192" s="9"/>
      <x:c r="Q192" s="2"/>
      <x:c r="R192" s="2"/>
      <x:c r="S192" s="10"/>
    </x:row>
    <x:row r="193" ht="72" customHeight="1">
      <x:c r="A193" s="2"/>
      <x:c r="B193" s="2"/>
      <x:c r="C193" s="3"/>
      <x:c r="D193" s="2"/>
      <x:c r="E193" s="4"/>
      <x:c r="F193" s="3"/>
      <x:c r="G193" s="5"/>
      <x:c r="H193" s="2"/>
      <x:c r="I193" s="2"/>
      <x:c r="J193" s="2"/>
      <x:c r="K193" s="3"/>
      <x:c r="L193" s="10"/>
      <x:c r="M193" s="2"/>
      <x:c r="N193" s="2"/>
      <x:c r="O193" s="2"/>
      <x:c r="P193" s="9"/>
      <x:c r="Q193" s="2"/>
      <x:c r="R193" s="2"/>
      <x:c r="S193" s="10"/>
    </x:row>
    <x:row r="194" ht="72" customHeight="1">
      <x:c r="A194" s="2"/>
      <x:c r="B194" s="2"/>
      <x:c r="C194" s="3"/>
      <x:c r="D194" s="2"/>
      <x:c r="E194" s="4"/>
      <x:c r="F194" s="3"/>
      <x:c r="G194" s="5"/>
      <x:c r="H194" s="2"/>
      <x:c r="I194" s="2"/>
      <x:c r="J194" s="2"/>
      <x:c r="K194" s="3"/>
      <x:c r="L194" s="10"/>
      <x:c r="M194" s="2"/>
      <x:c r="N194" s="2"/>
      <x:c r="O194" s="2"/>
      <x:c r="P194" s="9"/>
      <x:c r="Q194" s="2"/>
      <x:c r="R194" s="2"/>
      <x:c r="S194" s="10"/>
    </x:row>
    <x:row r="195" ht="72" customHeight="1">
      <x:c r="A195" s="2"/>
      <x:c r="B195" s="2"/>
      <x:c r="C195" s="3"/>
      <x:c r="D195" s="2"/>
      <x:c r="E195" s="4"/>
      <x:c r="F195" s="3"/>
      <x:c r="G195" s="5"/>
      <x:c r="H195" s="2"/>
      <x:c r="I195" s="2"/>
      <x:c r="J195" s="2"/>
      <x:c r="K195" s="3"/>
      <x:c r="L195" s="10"/>
      <x:c r="M195" s="2"/>
      <x:c r="N195" s="2"/>
      <x:c r="O195" s="2"/>
      <x:c r="P195" s="9"/>
      <x:c r="Q195" s="2"/>
      <x:c r="R195" s="2"/>
      <x:c r="S195" s="10"/>
    </x:row>
    <x:row r="196" ht="72" customHeight="1">
      <x:c r="A196" s="2"/>
      <x:c r="B196" s="2"/>
      <x:c r="C196" s="3"/>
      <x:c r="D196" s="2"/>
      <x:c r="E196" s="4"/>
      <x:c r="F196" s="3"/>
      <x:c r="G196" s="5"/>
      <x:c r="H196" s="2"/>
      <x:c r="I196" s="2"/>
      <x:c r="J196" s="2"/>
      <x:c r="K196" s="3"/>
      <x:c r="L196" s="10"/>
      <x:c r="M196" s="2"/>
      <x:c r="N196" s="2"/>
      <x:c r="O196" s="2"/>
      <x:c r="P196" s="9"/>
      <x:c r="Q196" s="2"/>
      <x:c r="R196" s="2"/>
      <x:c r="S196" s="10"/>
    </x:row>
    <x:row r="197" ht="72" customHeight="1">
      <x:c r="A197" s="2"/>
      <x:c r="B197" s="2"/>
      <x:c r="C197" s="3"/>
      <x:c r="D197" s="2"/>
      <x:c r="E197" s="4"/>
      <x:c r="F197" s="3"/>
      <x:c r="G197" s="5"/>
      <x:c r="H197" s="2"/>
      <x:c r="I197" s="2"/>
      <x:c r="J197" s="2"/>
      <x:c r="K197" s="3"/>
      <x:c r="L197" s="10"/>
      <x:c r="M197" s="2"/>
      <x:c r="N197" s="2"/>
      <x:c r="O197" s="2"/>
      <x:c r="P197" s="9"/>
      <x:c r="Q197" s="2"/>
      <x:c r="R197" s="2"/>
      <x:c r="S197" s="10"/>
    </x:row>
    <x:row r="198" ht="72" customHeight="1">
      <x:c r="A198" s="2"/>
      <x:c r="B198" s="2"/>
      <x:c r="C198" s="3"/>
      <x:c r="D198" s="2"/>
      <x:c r="E198" s="4"/>
      <x:c r="F198" s="3"/>
      <x:c r="G198" s="5"/>
      <x:c r="H198" s="2"/>
      <x:c r="I198" s="2"/>
      <x:c r="J198" s="2"/>
      <x:c r="K198" s="3"/>
      <x:c r="L198" s="10"/>
      <x:c r="M198" s="2"/>
      <x:c r="N198" s="2"/>
      <x:c r="O198" s="2"/>
      <x:c r="P198" s="9"/>
      <x:c r="Q198" s="2"/>
      <x:c r="R198" s="2"/>
      <x:c r="S198" s="10"/>
    </x:row>
    <x:row r="199" ht="72" customHeight="1">
      <x:c r="A199" s="2"/>
      <x:c r="B199" s="2"/>
      <x:c r="C199" s="3"/>
      <x:c r="D199" s="2"/>
      <x:c r="E199" s="4"/>
      <x:c r="F199" s="3"/>
      <x:c r="G199" s="5"/>
      <x:c r="H199" s="2"/>
      <x:c r="I199" s="2"/>
      <x:c r="J199" s="2"/>
      <x:c r="K199" s="3"/>
      <x:c r="L199" s="10"/>
      <x:c r="M199" s="2"/>
      <x:c r="N199" s="2"/>
      <x:c r="O199" s="2"/>
      <x:c r="P199" s="9"/>
      <x:c r="Q199" s="2"/>
      <x:c r="R199" s="2"/>
      <x:c r="S199" s="10"/>
    </x:row>
    <x:row r="200" ht="72" customHeight="1">
      <x:c r="A200" s="2"/>
      <x:c r="B200" s="2"/>
      <x:c r="C200" s="3"/>
      <x:c r="D200" s="2"/>
      <x:c r="E200" s="4"/>
      <x:c r="F200" s="3"/>
      <x:c r="G200" s="5"/>
      <x:c r="H200" s="2"/>
      <x:c r="I200" s="2"/>
      <x:c r="J200" s="2"/>
      <x:c r="K200" s="3"/>
      <x:c r="L200" s="10"/>
      <x:c r="M200" s="2"/>
      <x:c r="N200" s="2"/>
      <x:c r="O200" s="2"/>
      <x:c r="P200" s="9"/>
      <x:c r="Q200" s="2"/>
      <x:c r="R200" s="2"/>
      <x:c r="S200" s="10"/>
    </x:row>
    <x:row r="201" ht="72" customHeight="1">
      <x:c r="A201" s="2"/>
      <x:c r="B201" s="2"/>
      <x:c r="C201" s="3"/>
      <x:c r="D201" s="2"/>
      <x:c r="E201" s="4"/>
      <x:c r="F201" s="3"/>
      <x:c r="G201" s="5"/>
      <x:c r="H201" s="2"/>
      <x:c r="I201" s="2"/>
      <x:c r="J201" s="2"/>
      <x:c r="K201" s="3"/>
      <x:c r="L201" s="10"/>
      <x:c r="M201" s="2"/>
      <x:c r="N201" s="2"/>
      <x:c r="O201" s="2"/>
      <x:c r="P201" s="9"/>
      <x:c r="Q201" s="2"/>
      <x:c r="R201" s="2"/>
      <x:c r="S201" s="10"/>
    </x:row>
    <x:row r="202" ht="72" customHeight="1">
      <x:c r="A202" s="2"/>
      <x:c r="B202" s="2"/>
      <x:c r="C202" s="3"/>
      <x:c r="D202" s="2"/>
      <x:c r="E202" s="4"/>
      <x:c r="F202" s="3"/>
      <x:c r="G202" s="5"/>
      <x:c r="H202" s="2"/>
      <x:c r="I202" s="2"/>
      <x:c r="J202" s="2"/>
      <x:c r="K202" s="3"/>
      <x:c r="L202" s="10"/>
      <x:c r="M202" s="2"/>
      <x:c r="N202" s="2"/>
      <x:c r="O202" s="2"/>
      <x:c r="P202" s="9"/>
      <x:c r="Q202" s="2"/>
      <x:c r="R202" s="2"/>
      <x:c r="S202" s="10"/>
    </x:row>
    <x:row r="203" ht="72" customHeight="1">
      <x:c r="A203" s="2"/>
      <x:c r="B203" s="2"/>
      <x:c r="C203" s="3"/>
      <x:c r="D203" s="2"/>
      <x:c r="E203" s="4"/>
      <x:c r="F203" s="3"/>
      <x:c r="G203" s="5"/>
      <x:c r="H203" s="2"/>
      <x:c r="I203" s="2"/>
      <x:c r="J203" s="2"/>
      <x:c r="K203" s="3"/>
      <x:c r="L203" s="10"/>
      <x:c r="M203" s="2"/>
      <x:c r="N203" s="2"/>
      <x:c r="O203" s="2"/>
      <x:c r="P203" s="9"/>
      <x:c r="Q203" s="2"/>
      <x:c r="R203" s="2"/>
      <x:c r="S203" s="10"/>
    </x:row>
    <x:row r="204" ht="72" customHeight="1">
      <x:c r="A204" s="2"/>
      <x:c r="B204" s="2"/>
      <x:c r="C204" s="3"/>
      <x:c r="D204" s="2"/>
      <x:c r="E204" s="4"/>
      <x:c r="F204" s="3"/>
      <x:c r="G204" s="5"/>
      <x:c r="H204" s="2"/>
      <x:c r="I204" s="2"/>
      <x:c r="J204" s="2"/>
      <x:c r="K204" s="3"/>
      <x:c r="L204" s="10"/>
      <x:c r="M204" s="2"/>
      <x:c r="N204" s="2"/>
      <x:c r="O204" s="2"/>
      <x:c r="P204" s="9"/>
      <x:c r="Q204" s="2"/>
      <x:c r="R204" s="2"/>
      <x:c r="S204" s="10"/>
    </x:row>
    <x:row r="205" ht="72" customHeight="1">
      <x:c r="A205" s="2"/>
      <x:c r="B205" s="2"/>
      <x:c r="C205" s="3"/>
      <x:c r="D205" s="2"/>
      <x:c r="E205" s="4"/>
      <x:c r="F205" s="3"/>
      <x:c r="G205" s="5"/>
      <x:c r="H205" s="2"/>
      <x:c r="I205" s="2"/>
      <x:c r="J205" s="2"/>
      <x:c r="K205" s="3"/>
      <x:c r="L205" s="10"/>
      <x:c r="M205" s="2"/>
      <x:c r="N205" s="2"/>
      <x:c r="O205" s="2"/>
      <x:c r="P205" s="9"/>
      <x:c r="Q205" s="2"/>
      <x:c r="R205" s="2"/>
      <x:c r="S205" s="10"/>
    </x:row>
    <x:row r="206" ht="72" customHeight="1">
      <x:c r="A206" s="2"/>
      <x:c r="B206" s="2"/>
      <x:c r="C206" s="3"/>
      <x:c r="D206" s="2"/>
      <x:c r="E206" s="4"/>
      <x:c r="F206" s="3"/>
      <x:c r="G206" s="5"/>
      <x:c r="H206" s="2"/>
      <x:c r="I206" s="2"/>
      <x:c r="J206" s="2"/>
      <x:c r="K206" s="3"/>
      <x:c r="L206" s="10"/>
      <x:c r="M206" s="2"/>
      <x:c r="N206" s="2"/>
      <x:c r="O206" s="2"/>
      <x:c r="P206" s="9"/>
      <x:c r="Q206" s="2"/>
      <x:c r="R206" s="2"/>
      <x:c r="S206" s="10"/>
    </x:row>
    <x:row r="207" ht="72" customHeight="1">
      <x:c r="A207" s="2"/>
      <x:c r="B207" s="2"/>
      <x:c r="C207" s="3"/>
      <x:c r="D207" s="2"/>
      <x:c r="E207" s="4"/>
      <x:c r="F207" s="3"/>
      <x:c r="G207" s="5"/>
      <x:c r="H207" s="2"/>
      <x:c r="I207" s="2"/>
      <x:c r="J207" s="2"/>
      <x:c r="K207" s="3"/>
      <x:c r="L207" s="10"/>
      <x:c r="M207" s="2"/>
      <x:c r="N207" s="2"/>
      <x:c r="O207" s="2"/>
      <x:c r="P207" s="9"/>
      <x:c r="Q207" s="2"/>
      <x:c r="R207" s="2"/>
      <x:c r="S207" s="10"/>
    </x:row>
    <x:row r="208" ht="72" customHeight="1">
      <x:c r="A208" s="2"/>
      <x:c r="B208" s="2"/>
      <x:c r="C208" s="3"/>
      <x:c r="D208" s="2"/>
      <x:c r="E208" s="4"/>
      <x:c r="F208" s="3"/>
      <x:c r="G208" s="5"/>
      <x:c r="H208" s="2"/>
      <x:c r="I208" s="2"/>
      <x:c r="J208" s="2"/>
      <x:c r="K208" s="3"/>
      <x:c r="L208" s="10"/>
      <x:c r="M208" s="2"/>
      <x:c r="N208" s="2"/>
      <x:c r="O208" s="2"/>
      <x:c r="P208" s="9"/>
      <x:c r="Q208" s="2"/>
      <x:c r="R208" s="2"/>
      <x:c r="S208" s="10"/>
    </x:row>
    <x:row r="209" ht="72" customHeight="1">
      <x:c r="A209" s="2"/>
      <x:c r="B209" s="2"/>
      <x:c r="C209" s="3"/>
      <x:c r="D209" s="2"/>
      <x:c r="E209" s="4"/>
      <x:c r="F209" s="3"/>
      <x:c r="G209" s="5"/>
      <x:c r="H209" s="2"/>
      <x:c r="I209" s="2"/>
      <x:c r="J209" s="2"/>
      <x:c r="K209" s="3"/>
      <x:c r="L209" s="10"/>
      <x:c r="M209" s="2"/>
      <x:c r="N209" s="2"/>
      <x:c r="O209" s="2"/>
      <x:c r="P209" s="9"/>
      <x:c r="Q209" s="2"/>
      <x:c r="R209" s="2"/>
      <x:c r="S209" s="10"/>
    </x:row>
    <x:row r="210" ht="72" customHeight="1">
      <x:c r="A210" s="2"/>
      <x:c r="B210" s="2"/>
      <x:c r="C210" s="3"/>
      <x:c r="D210" s="2"/>
      <x:c r="E210" s="4"/>
      <x:c r="F210" s="3"/>
      <x:c r="G210" s="5"/>
      <x:c r="H210" s="2"/>
      <x:c r="I210" s="2"/>
      <x:c r="J210" s="2"/>
      <x:c r="K210" s="3"/>
      <x:c r="L210" s="10"/>
      <x:c r="M210" s="2"/>
      <x:c r="N210" s="2"/>
      <x:c r="O210" s="2"/>
      <x:c r="P210" s="9"/>
      <x:c r="Q210" s="2"/>
      <x:c r="R210" s="2"/>
      <x:c r="S210" s="10"/>
    </x:row>
    <x:row r="211" ht="72" customHeight="1">
      <x:c r="A211" s="2"/>
      <x:c r="B211" s="2"/>
      <x:c r="C211" s="3"/>
      <x:c r="D211" s="2"/>
      <x:c r="E211" s="4"/>
      <x:c r="F211" s="3"/>
      <x:c r="G211" s="5"/>
      <x:c r="H211" s="2"/>
      <x:c r="I211" s="2"/>
      <x:c r="J211" s="2"/>
      <x:c r="K211" s="3"/>
      <x:c r="L211" s="10"/>
      <x:c r="M211" s="2"/>
      <x:c r="N211" s="2"/>
      <x:c r="O211" s="2"/>
      <x:c r="P211" s="9"/>
      <x:c r="Q211" s="2"/>
      <x:c r="R211" s="2"/>
      <x:c r="S211" s="10"/>
    </x:row>
    <x:row r="212" ht="72" customHeight="1">
      <x:c r="A212" s="2"/>
      <x:c r="B212" s="2"/>
      <x:c r="C212" s="3"/>
      <x:c r="D212" s="2"/>
      <x:c r="E212" s="4"/>
      <x:c r="F212" s="3"/>
      <x:c r="G212" s="5"/>
      <x:c r="H212" s="2"/>
      <x:c r="I212" s="2"/>
      <x:c r="J212" s="2"/>
      <x:c r="K212" s="3"/>
      <x:c r="L212" s="10"/>
      <x:c r="M212" s="2"/>
      <x:c r="N212" s="2"/>
      <x:c r="O212" s="2"/>
      <x:c r="P212" s="9"/>
      <x:c r="Q212" s="2"/>
      <x:c r="R212" s="2"/>
      <x:c r="S212" s="10"/>
    </x:row>
    <x:row r="213" ht="72" customHeight="1">
      <x:c r="A213" s="2"/>
      <x:c r="B213" s="2"/>
      <x:c r="C213" s="3"/>
      <x:c r="D213" s="2"/>
      <x:c r="E213" s="4"/>
      <x:c r="F213" s="3"/>
      <x:c r="G213" s="5"/>
      <x:c r="H213" s="2"/>
      <x:c r="I213" s="2"/>
      <x:c r="J213" s="2"/>
      <x:c r="K213" s="3"/>
      <x:c r="L213" s="10"/>
      <x:c r="M213" s="2"/>
      <x:c r="N213" s="2"/>
      <x:c r="O213" s="2"/>
      <x:c r="P213" s="9"/>
      <x:c r="Q213" s="2"/>
      <x:c r="R213" s="2"/>
      <x:c r="S213" s="10"/>
    </x:row>
    <x:row r="214" ht="72" customHeight="1">
      <x:c r="A214" s="2"/>
      <x:c r="B214" s="2"/>
      <x:c r="C214" s="3"/>
      <x:c r="D214" s="2"/>
      <x:c r="E214" s="4"/>
      <x:c r="F214" s="3"/>
      <x:c r="G214" s="5"/>
      <x:c r="H214" s="2"/>
      <x:c r="I214" s="2"/>
      <x:c r="J214" s="2"/>
      <x:c r="K214" s="3"/>
      <x:c r="L214" s="10"/>
      <x:c r="M214" s="2"/>
      <x:c r="N214" s="2"/>
      <x:c r="O214" s="2"/>
      <x:c r="P214" s="9"/>
      <x:c r="Q214" s="2"/>
      <x:c r="R214" s="2"/>
      <x:c r="S214" s="10"/>
    </x:row>
    <x:row r="215" ht="72" customHeight="1">
      <x:c r="A215" s="2"/>
      <x:c r="B215" s="2"/>
      <x:c r="C215" s="3"/>
      <x:c r="D215" s="2"/>
      <x:c r="E215" s="4"/>
      <x:c r="F215" s="3"/>
      <x:c r="G215" s="5"/>
      <x:c r="H215" s="2"/>
      <x:c r="I215" s="2"/>
      <x:c r="J215" s="2"/>
      <x:c r="K215" s="3"/>
      <x:c r="L215" s="10"/>
      <x:c r="M215" s="2"/>
      <x:c r="N215" s="2"/>
      <x:c r="O215" s="2"/>
      <x:c r="P215" s="9"/>
      <x:c r="Q215" s="2"/>
      <x:c r="R215" s="2"/>
      <x:c r="S215" s="10"/>
    </x:row>
    <x:row r="216" ht="72" customHeight="1">
      <x:c r="A216" s="2"/>
      <x:c r="B216" s="2"/>
      <x:c r="C216" s="3"/>
      <x:c r="D216" s="2"/>
      <x:c r="E216" s="4"/>
      <x:c r="F216" s="3"/>
      <x:c r="G216" s="5"/>
      <x:c r="H216" s="2"/>
      <x:c r="I216" s="2"/>
      <x:c r="J216" s="2"/>
      <x:c r="K216" s="3"/>
      <x:c r="L216" s="10"/>
      <x:c r="M216" s="2"/>
      <x:c r="N216" s="2"/>
      <x:c r="O216" s="2"/>
      <x:c r="P216" s="9"/>
      <x:c r="Q216" s="2"/>
      <x:c r="R216" s="2"/>
      <x:c r="S216" s="10"/>
    </x:row>
    <x:row r="217" ht="72" customHeight="1">
      <x:c r="A217" s="2"/>
      <x:c r="B217" s="2"/>
      <x:c r="C217" s="3"/>
      <x:c r="D217" s="2"/>
      <x:c r="E217" s="4"/>
      <x:c r="F217" s="3"/>
      <x:c r="G217" s="5"/>
      <x:c r="H217" s="2"/>
      <x:c r="I217" s="2"/>
      <x:c r="J217" s="2"/>
      <x:c r="K217" s="3"/>
      <x:c r="L217" s="10"/>
      <x:c r="M217" s="2"/>
      <x:c r="N217" s="2"/>
      <x:c r="O217" s="2"/>
      <x:c r="P217" s="9"/>
      <x:c r="Q217" s="2"/>
      <x:c r="R217" s="2"/>
      <x:c r="S217" s="10"/>
    </x:row>
    <x:row r="218" ht="72" customHeight="1">
      <x:c r="A218" s="2"/>
      <x:c r="B218" s="2"/>
      <x:c r="C218" s="3"/>
      <x:c r="D218" s="2"/>
      <x:c r="E218" s="4"/>
      <x:c r="F218" s="3"/>
      <x:c r="G218" s="5"/>
      <x:c r="H218" s="2"/>
      <x:c r="I218" s="2"/>
      <x:c r="J218" s="2"/>
      <x:c r="K218" s="3"/>
      <x:c r="L218" s="10"/>
      <x:c r="M218" s="2"/>
      <x:c r="N218" s="2"/>
      <x:c r="O218" s="2"/>
      <x:c r="P218" s="9"/>
      <x:c r="Q218" s="2"/>
      <x:c r="R218" s="2"/>
      <x:c r="S218" s="10"/>
    </x:row>
    <x:row r="219" ht="72" customHeight="1">
      <x:c r="A219" s="2"/>
      <x:c r="B219" s="2"/>
      <x:c r="C219" s="3"/>
      <x:c r="D219" s="2"/>
      <x:c r="E219" s="4"/>
      <x:c r="F219" s="3"/>
      <x:c r="G219" s="5"/>
      <x:c r="H219" s="2"/>
      <x:c r="I219" s="2"/>
      <x:c r="J219" s="2"/>
      <x:c r="K219" s="3"/>
      <x:c r="L219" s="10"/>
      <x:c r="M219" s="2"/>
      <x:c r="N219" s="2"/>
      <x:c r="O219" s="2"/>
      <x:c r="P219" s="9"/>
      <x:c r="Q219" s="2"/>
      <x:c r="R219" s="2"/>
      <x:c r="S219" s="10"/>
    </x:row>
    <x:row r="220" ht="72" customHeight="1">
      <x:c r="A220" s="2"/>
      <x:c r="B220" s="2"/>
      <x:c r="C220" s="3"/>
      <x:c r="D220" s="2"/>
      <x:c r="E220" s="4"/>
      <x:c r="F220" s="3"/>
      <x:c r="G220" s="5"/>
      <x:c r="H220" s="2"/>
      <x:c r="I220" s="2"/>
      <x:c r="J220" s="2"/>
      <x:c r="K220" s="3"/>
      <x:c r="L220" s="10"/>
      <x:c r="M220" s="2"/>
      <x:c r="N220" s="2"/>
      <x:c r="O220" s="2"/>
      <x:c r="P220" s="9"/>
      <x:c r="Q220" s="2"/>
      <x:c r="R220" s="2"/>
      <x:c r="S220" s="10"/>
    </x:row>
    <x:row r="221" ht="72" customHeight="1">
      <x:c r="A221" s="2"/>
      <x:c r="B221" s="2"/>
      <x:c r="C221" s="3"/>
      <x:c r="D221" s="2"/>
      <x:c r="E221" s="4"/>
      <x:c r="F221" s="3"/>
      <x:c r="G221" s="5"/>
      <x:c r="H221" s="2"/>
      <x:c r="I221" s="2"/>
      <x:c r="J221" s="2"/>
      <x:c r="K221" s="3"/>
      <x:c r="L221" s="10"/>
      <x:c r="M221" s="2"/>
      <x:c r="N221" s="2"/>
      <x:c r="O221" s="2"/>
      <x:c r="P221" s="9"/>
      <x:c r="Q221" s="2"/>
      <x:c r="R221" s="2"/>
      <x:c r="S221" s="10"/>
    </x:row>
    <x:row r="222" ht="72" customHeight="1">
      <x:c r="A222" s="2"/>
      <x:c r="B222" s="2"/>
      <x:c r="C222" s="3"/>
      <x:c r="D222" s="2"/>
      <x:c r="E222" s="4"/>
      <x:c r="F222" s="3"/>
      <x:c r="G222" s="5"/>
      <x:c r="H222" s="2"/>
      <x:c r="I222" s="2"/>
      <x:c r="J222" s="2"/>
      <x:c r="K222" s="3"/>
      <x:c r="L222" s="10"/>
      <x:c r="M222" s="2"/>
      <x:c r="N222" s="2"/>
      <x:c r="O222" s="2"/>
      <x:c r="P222" s="9"/>
      <x:c r="Q222" s="2"/>
      <x:c r="R222" s="2"/>
      <x:c r="S222" s="10"/>
    </x:row>
    <x:row r="223" ht="72" customHeight="1">
      <x:c r="A223" s="2"/>
      <x:c r="B223" s="2"/>
      <x:c r="C223" s="3"/>
      <x:c r="D223" s="2"/>
      <x:c r="E223" s="4"/>
      <x:c r="F223" s="3"/>
      <x:c r="G223" s="5"/>
      <x:c r="H223" s="2"/>
      <x:c r="I223" s="2"/>
      <x:c r="J223" s="2"/>
      <x:c r="K223" s="3"/>
      <x:c r="L223" s="10"/>
      <x:c r="M223" s="2"/>
      <x:c r="N223" s="2"/>
      <x:c r="O223" s="2"/>
      <x:c r="P223" s="9"/>
      <x:c r="Q223" s="2"/>
      <x:c r="R223" s="2"/>
      <x:c r="S223" s="10"/>
    </x:row>
    <x:row r="224" ht="72" customHeight="1">
      <x:c r="A224" s="2"/>
      <x:c r="B224" s="2"/>
      <x:c r="C224" s="3"/>
      <x:c r="D224" s="2"/>
      <x:c r="E224" s="4"/>
      <x:c r="F224" s="3"/>
      <x:c r="G224" s="5"/>
      <x:c r="H224" s="2"/>
      <x:c r="I224" s="2"/>
      <x:c r="J224" s="2"/>
      <x:c r="K224" s="3"/>
      <x:c r="L224" s="10"/>
      <x:c r="M224" s="2"/>
      <x:c r="N224" s="2"/>
      <x:c r="O224" s="2"/>
      <x:c r="P224" s="9"/>
      <x:c r="Q224" s="2"/>
      <x:c r="R224" s="2"/>
      <x:c r="S224" s="10"/>
    </x:row>
    <x:row r="225" ht="72" customHeight="1">
      <x:c r="A225" s="2"/>
      <x:c r="B225" s="2"/>
      <x:c r="C225" s="3"/>
      <x:c r="D225" s="2"/>
      <x:c r="E225" s="4"/>
      <x:c r="F225" s="3"/>
      <x:c r="G225" s="5"/>
      <x:c r="H225" s="2"/>
      <x:c r="I225" s="2"/>
      <x:c r="J225" s="2"/>
      <x:c r="K225" s="3"/>
      <x:c r="L225" s="10"/>
      <x:c r="M225" s="2"/>
      <x:c r="N225" s="2"/>
      <x:c r="O225" s="2"/>
      <x:c r="P225" s="9"/>
      <x:c r="Q225" s="2"/>
      <x:c r="R225" s="2"/>
      <x:c r="S225" s="10"/>
    </x:row>
    <x:row r="226" ht="72" customHeight="1">
      <x:c r="A226" s="2"/>
      <x:c r="B226" s="2"/>
      <x:c r="C226" s="3"/>
      <x:c r="D226" s="2"/>
      <x:c r="E226" s="4"/>
      <x:c r="F226" s="3"/>
      <x:c r="G226" s="5"/>
      <x:c r="H226" s="2"/>
      <x:c r="I226" s="2"/>
      <x:c r="J226" s="2"/>
      <x:c r="K226" s="3"/>
      <x:c r="L226" s="10"/>
      <x:c r="M226" s="2"/>
      <x:c r="N226" s="2"/>
      <x:c r="O226" s="2"/>
      <x:c r="P226" s="9"/>
      <x:c r="Q226" s="2"/>
      <x:c r="R226" s="2"/>
      <x:c r="S226" s="10"/>
    </x:row>
    <x:row r="227" ht="72" customHeight="1">
      <x:c r="A227" s="2"/>
      <x:c r="B227" s="2"/>
      <x:c r="C227" s="3"/>
      <x:c r="D227" s="2"/>
      <x:c r="E227" s="4"/>
      <x:c r="F227" s="3"/>
      <x:c r="G227" s="5"/>
      <x:c r="H227" s="2"/>
      <x:c r="I227" s="2"/>
      <x:c r="J227" s="2"/>
      <x:c r="K227" s="3"/>
      <x:c r="L227" s="10"/>
      <x:c r="M227" s="2"/>
      <x:c r="N227" s="2"/>
      <x:c r="O227" s="2"/>
      <x:c r="P227" s="9"/>
      <x:c r="Q227" s="2"/>
      <x:c r="R227" s="2"/>
      <x:c r="S227" s="10"/>
    </x:row>
    <x:row r="228" ht="72" customHeight="1">
      <x:c r="A228" s="2"/>
      <x:c r="B228" s="2"/>
      <x:c r="C228" s="3"/>
      <x:c r="D228" s="2"/>
      <x:c r="E228" s="4"/>
      <x:c r="F228" s="3"/>
      <x:c r="G228" s="5"/>
      <x:c r="H228" s="2"/>
      <x:c r="I228" s="2"/>
      <x:c r="J228" s="2"/>
      <x:c r="K228" s="3"/>
      <x:c r="L228" s="10"/>
      <x:c r="M228" s="2"/>
      <x:c r="N228" s="2"/>
      <x:c r="O228" s="2"/>
      <x:c r="P228" s="9"/>
      <x:c r="Q228" s="2"/>
      <x:c r="R228" s="2"/>
      <x:c r="S228" s="10"/>
    </x:row>
    <x:row r="229" ht="72" customHeight="1">
      <x:c r="A229" s="2"/>
      <x:c r="B229" s="2"/>
      <x:c r="C229" s="3"/>
      <x:c r="D229" s="2"/>
      <x:c r="E229" s="4"/>
      <x:c r="F229" s="3"/>
      <x:c r="G229" s="5"/>
      <x:c r="H229" s="2"/>
      <x:c r="I229" s="2"/>
      <x:c r="J229" s="2"/>
      <x:c r="K229" s="3"/>
      <x:c r="L229" s="10"/>
      <x:c r="M229" s="2"/>
      <x:c r="N229" s="2"/>
      <x:c r="O229" s="2"/>
      <x:c r="P229" s="9"/>
      <x:c r="Q229" s="2"/>
      <x:c r="R229" s="2"/>
      <x:c r="S229" s="10"/>
    </x:row>
    <x:row r="230" ht="72" customHeight="1">
      <x:c r="A230" s="2"/>
      <x:c r="B230" s="2"/>
      <x:c r="C230" s="3"/>
      <x:c r="D230" s="2"/>
      <x:c r="E230" s="4"/>
      <x:c r="F230" s="3"/>
      <x:c r="G230" s="5"/>
      <x:c r="H230" s="2"/>
      <x:c r="I230" s="2"/>
      <x:c r="J230" s="2"/>
      <x:c r="K230" s="3"/>
      <x:c r="L230" s="10"/>
      <x:c r="M230" s="2"/>
      <x:c r="N230" s="2"/>
      <x:c r="O230" s="2"/>
      <x:c r="P230" s="9"/>
      <x:c r="Q230" s="2"/>
      <x:c r="R230" s="2"/>
      <x:c r="S230" s="10"/>
    </x:row>
    <x:row r="231" ht="72" customHeight="1">
      <x:c r="A231" s="2"/>
      <x:c r="B231" s="2"/>
      <x:c r="C231" s="3"/>
      <x:c r="D231" s="2"/>
      <x:c r="E231" s="4"/>
      <x:c r="F231" s="3"/>
      <x:c r="G231" s="5"/>
      <x:c r="H231" s="2"/>
      <x:c r="I231" s="2"/>
      <x:c r="J231" s="2"/>
      <x:c r="K231" s="3"/>
      <x:c r="L231" s="10"/>
      <x:c r="M231" s="2"/>
      <x:c r="N231" s="2"/>
      <x:c r="O231" s="2"/>
      <x:c r="P231" s="9"/>
      <x:c r="Q231" s="2"/>
      <x:c r="R231" s="2"/>
      <x:c r="S231" s="10"/>
    </x:row>
    <x:row r="232" ht="72" customHeight="1">
      <x:c r="A232" s="2"/>
      <x:c r="B232" s="2"/>
      <x:c r="C232" s="3"/>
      <x:c r="D232" s="2"/>
      <x:c r="E232" s="4"/>
      <x:c r="F232" s="3"/>
      <x:c r="G232" s="5"/>
      <x:c r="H232" s="2"/>
      <x:c r="I232" s="2"/>
      <x:c r="J232" s="2"/>
      <x:c r="K232" s="3"/>
      <x:c r="L232" s="10"/>
      <x:c r="M232" s="2"/>
      <x:c r="N232" s="2"/>
      <x:c r="O232" s="2"/>
      <x:c r="P232" s="9"/>
      <x:c r="Q232" s="2"/>
      <x:c r="R232" s="2"/>
      <x:c r="S232" s="10"/>
    </x:row>
    <x:row r="233" ht="72" customHeight="1">
      <x:c r="A233" s="2"/>
      <x:c r="B233" s="2"/>
      <x:c r="C233" s="3"/>
      <x:c r="D233" s="2"/>
      <x:c r="E233" s="4"/>
      <x:c r="F233" s="3"/>
      <x:c r="G233" s="5"/>
      <x:c r="H233" s="2"/>
      <x:c r="I233" s="2"/>
      <x:c r="J233" s="2"/>
      <x:c r="K233" s="3"/>
      <x:c r="L233" s="10"/>
      <x:c r="M233" s="2"/>
      <x:c r="N233" s="2"/>
      <x:c r="O233" s="2"/>
      <x:c r="P233" s="9"/>
      <x:c r="Q233" s="2"/>
      <x:c r="R233" s="2"/>
      <x:c r="S233" s="10"/>
    </x:row>
    <x:row r="234" ht="72" customHeight="1">
      <x:c r="A234" s="2"/>
      <x:c r="B234" s="2"/>
      <x:c r="C234" s="3"/>
      <x:c r="D234" s="2"/>
      <x:c r="E234" s="4"/>
      <x:c r="F234" s="3"/>
      <x:c r="G234" s="5"/>
      <x:c r="H234" s="2"/>
      <x:c r="I234" s="2"/>
      <x:c r="J234" s="2"/>
      <x:c r="K234" s="3"/>
      <x:c r="L234" s="10"/>
      <x:c r="M234" s="2"/>
      <x:c r="N234" s="2"/>
      <x:c r="O234" s="2"/>
      <x:c r="P234" s="9"/>
      <x:c r="Q234" s="2"/>
      <x:c r="R234" s="2"/>
      <x:c r="S234" s="10"/>
    </x:row>
    <x:row r="235" ht="72" customHeight="1">
      <x:c r="A235" s="2"/>
      <x:c r="B235" s="2"/>
      <x:c r="C235" s="3"/>
      <x:c r="D235" s="2"/>
      <x:c r="E235" s="4"/>
      <x:c r="F235" s="3"/>
      <x:c r="G235" s="5"/>
      <x:c r="H235" s="2"/>
      <x:c r="I235" s="2"/>
      <x:c r="J235" s="2"/>
      <x:c r="K235" s="3"/>
      <x:c r="L235" s="10"/>
      <x:c r="M235" s="2"/>
      <x:c r="N235" s="2"/>
      <x:c r="O235" s="2"/>
      <x:c r="P235" s="9"/>
      <x:c r="Q235" s="2"/>
      <x:c r="R235" s="2"/>
      <x:c r="S235" s="10"/>
    </x:row>
    <x:row r="236" ht="72" customHeight="1">
      <x:c r="A236" s="2"/>
      <x:c r="B236" s="2"/>
      <x:c r="C236" s="3"/>
      <x:c r="D236" s="2"/>
      <x:c r="E236" s="4"/>
      <x:c r="F236" s="3"/>
      <x:c r="G236" s="5"/>
      <x:c r="H236" s="2"/>
      <x:c r="I236" s="2"/>
      <x:c r="J236" s="2"/>
      <x:c r="K236" s="3"/>
      <x:c r="L236" s="10"/>
      <x:c r="M236" s="2"/>
      <x:c r="N236" s="2"/>
      <x:c r="O236" s="2"/>
      <x:c r="P236" s="9"/>
      <x:c r="Q236" s="2"/>
      <x:c r="R236" s="2"/>
      <x:c r="S236" s="10"/>
    </x:row>
    <x:row r="237" ht="72" customHeight="1">
      <x:c r="A237" s="2"/>
      <x:c r="B237" s="2"/>
      <x:c r="C237" s="3"/>
      <x:c r="D237" s="2"/>
      <x:c r="E237" s="4"/>
      <x:c r="F237" s="3"/>
      <x:c r="G237" s="5"/>
      <x:c r="H237" s="2"/>
      <x:c r="I237" s="2"/>
      <x:c r="J237" s="2"/>
      <x:c r="K237" s="3"/>
      <x:c r="L237" s="10"/>
      <x:c r="M237" s="2"/>
      <x:c r="N237" s="2"/>
      <x:c r="O237" s="2"/>
      <x:c r="P237" s="9"/>
      <x:c r="Q237" s="2"/>
      <x:c r="R237" s="2"/>
      <x:c r="S237" s="10"/>
    </x:row>
    <x:row r="238" ht="72" customHeight="1">
      <x:c r="A238" s="2"/>
      <x:c r="B238" s="2"/>
      <x:c r="C238" s="3"/>
      <x:c r="D238" s="2"/>
      <x:c r="E238" s="4"/>
      <x:c r="F238" s="3"/>
      <x:c r="G238" s="5"/>
      <x:c r="H238" s="2"/>
      <x:c r="I238" s="2"/>
      <x:c r="J238" s="2"/>
      <x:c r="K238" s="3"/>
      <x:c r="L238" s="10"/>
      <x:c r="M238" s="2"/>
      <x:c r="N238" s="2"/>
      <x:c r="O238" s="2"/>
      <x:c r="P238" s="9"/>
      <x:c r="Q238" s="2"/>
      <x:c r="R238" s="2"/>
      <x:c r="S238" s="10"/>
    </x:row>
    <x:row r="239" ht="72" customHeight="1">
      <x:c r="A239" s="2"/>
      <x:c r="B239" s="2"/>
      <x:c r="C239" s="3"/>
      <x:c r="D239" s="2"/>
      <x:c r="E239" s="4"/>
      <x:c r="F239" s="3"/>
      <x:c r="G239" s="5"/>
      <x:c r="H239" s="2"/>
      <x:c r="I239" s="2"/>
      <x:c r="J239" s="2"/>
      <x:c r="K239" s="3"/>
      <x:c r="L239" s="10"/>
      <x:c r="M239" s="2"/>
      <x:c r="N239" s="2"/>
      <x:c r="O239" s="2"/>
      <x:c r="P239" s="9"/>
      <x:c r="Q239" s="2"/>
      <x:c r="R239" s="2"/>
      <x:c r="S239" s="10"/>
    </x:row>
    <x:row r="240" ht="72" customHeight="1">
      <x:c r="A240" s="2"/>
      <x:c r="B240" s="2"/>
      <x:c r="C240" s="3"/>
      <x:c r="D240" s="2"/>
      <x:c r="E240" s="4"/>
      <x:c r="F240" s="3"/>
      <x:c r="G240" s="5"/>
      <x:c r="H240" s="2"/>
      <x:c r="I240" s="2"/>
      <x:c r="J240" s="2"/>
      <x:c r="K240" s="3"/>
      <x:c r="L240" s="10"/>
      <x:c r="M240" s="2"/>
      <x:c r="N240" s="2"/>
      <x:c r="O240" s="2"/>
      <x:c r="P240" s="9"/>
      <x:c r="Q240" s="2"/>
      <x:c r="R240" s="2"/>
      <x:c r="S240" s="10"/>
    </x:row>
    <x:row r="241" ht="72" customHeight="1">
      <x:c r="A241" s="2"/>
      <x:c r="B241" s="2"/>
      <x:c r="C241" s="3"/>
      <x:c r="D241" s="2"/>
      <x:c r="E241" s="4"/>
      <x:c r="F241" s="3"/>
      <x:c r="G241" s="5"/>
      <x:c r="H241" s="2"/>
      <x:c r="I241" s="2"/>
      <x:c r="J241" s="2"/>
      <x:c r="K241" s="3"/>
      <x:c r="L241" s="10"/>
      <x:c r="M241" s="2"/>
      <x:c r="N241" s="2"/>
      <x:c r="O241" s="2"/>
      <x:c r="P241" s="9"/>
      <x:c r="Q241" s="2"/>
      <x:c r="R241" s="2"/>
      <x:c r="S241" s="10"/>
    </x:row>
    <x:row r="242" ht="72" customHeight="1">
      <x:c r="A242" s="2"/>
      <x:c r="B242" s="2"/>
      <x:c r="C242" s="3"/>
      <x:c r="D242" s="2"/>
      <x:c r="E242" s="4"/>
      <x:c r="F242" s="3"/>
      <x:c r="G242" s="5"/>
      <x:c r="H242" s="2"/>
      <x:c r="I242" s="2"/>
      <x:c r="J242" s="2"/>
      <x:c r="K242" s="3"/>
      <x:c r="L242" s="10"/>
      <x:c r="M242" s="2"/>
      <x:c r="N242" s="2"/>
      <x:c r="O242" s="2"/>
      <x:c r="P242" s="9"/>
      <x:c r="Q242" s="2"/>
      <x:c r="R242" s="2"/>
      <x:c r="S242" s="10"/>
    </x:row>
    <x:row r="243" ht="72" customHeight="1">
      <x:c r="A243" s="2"/>
      <x:c r="B243" s="2"/>
      <x:c r="C243" s="3"/>
      <x:c r="D243" s="2"/>
      <x:c r="E243" s="4"/>
      <x:c r="F243" s="3"/>
      <x:c r="G243" s="5"/>
      <x:c r="H243" s="2"/>
      <x:c r="I243" s="2"/>
      <x:c r="J243" s="2"/>
      <x:c r="K243" s="3"/>
      <x:c r="L243" s="10"/>
      <x:c r="M243" s="2"/>
      <x:c r="N243" s="2"/>
      <x:c r="O243" s="2"/>
      <x:c r="P243" s="9"/>
      <x:c r="Q243" s="2"/>
      <x:c r="R243" s="2"/>
      <x:c r="S243" s="10"/>
    </x:row>
    <x:row r="244" ht="72" customHeight="1">
      <x:c r="A244" s="2"/>
      <x:c r="B244" s="2"/>
      <x:c r="C244" s="3"/>
      <x:c r="D244" s="2"/>
      <x:c r="E244" s="4"/>
      <x:c r="F244" s="3"/>
      <x:c r="G244" s="5"/>
      <x:c r="H244" s="2"/>
      <x:c r="I244" s="2"/>
      <x:c r="J244" s="2"/>
      <x:c r="K244" s="3"/>
      <x:c r="L244" s="10"/>
      <x:c r="M244" s="2"/>
      <x:c r="N244" s="2"/>
      <x:c r="O244" s="2"/>
      <x:c r="P244" s="9"/>
      <x:c r="Q244" s="2"/>
      <x:c r="R244" s="2"/>
      <x:c r="S244" s="10"/>
    </x:row>
    <x:row r="245" ht="72" customHeight="1">
      <x:c r="A245" s="2"/>
      <x:c r="B245" s="2"/>
      <x:c r="C245" s="3"/>
      <x:c r="D245" s="2"/>
      <x:c r="E245" s="4"/>
      <x:c r="F245" s="3"/>
      <x:c r="G245" s="5"/>
      <x:c r="H245" s="2"/>
      <x:c r="I245" s="2"/>
      <x:c r="J245" s="2"/>
      <x:c r="K245" s="3"/>
      <x:c r="L245" s="10"/>
      <x:c r="M245" s="2"/>
      <x:c r="N245" s="2"/>
      <x:c r="O245" s="2"/>
      <x:c r="P245" s="9"/>
      <x:c r="Q245" s="2"/>
      <x:c r="R245" s="2"/>
      <x:c r="S245" s="10"/>
    </x:row>
    <x:row r="246" ht="72" customHeight="1">
      <x:c r="A246" s="2"/>
      <x:c r="B246" s="2"/>
      <x:c r="C246" s="3"/>
      <x:c r="D246" s="2"/>
      <x:c r="E246" s="4"/>
      <x:c r="F246" s="3"/>
      <x:c r="G246" s="5"/>
      <x:c r="H246" s="2"/>
      <x:c r="I246" s="2"/>
      <x:c r="J246" s="2"/>
      <x:c r="K246" s="3"/>
      <x:c r="L246" s="10"/>
      <x:c r="M246" s="2"/>
      <x:c r="N246" s="2"/>
      <x:c r="O246" s="2"/>
      <x:c r="P246" s="9"/>
      <x:c r="Q246" s="2"/>
      <x:c r="R246" s="2"/>
      <x:c r="S246" s="10"/>
    </x:row>
    <x:row r="247" ht="72" customHeight="1">
      <x:c r="A247" s="2"/>
      <x:c r="B247" s="2"/>
      <x:c r="C247" s="3"/>
      <x:c r="D247" s="2"/>
      <x:c r="E247" s="4"/>
      <x:c r="F247" s="3"/>
      <x:c r="G247" s="5"/>
      <x:c r="H247" s="2"/>
      <x:c r="I247" s="2"/>
      <x:c r="J247" s="2"/>
      <x:c r="K247" s="3"/>
      <x:c r="L247" s="10"/>
      <x:c r="M247" s="2"/>
      <x:c r="N247" s="2"/>
      <x:c r="O247" s="2"/>
      <x:c r="P247" s="9"/>
      <x:c r="Q247" s="2"/>
      <x:c r="R247" s="2"/>
      <x:c r="S247" s="10"/>
    </x:row>
    <x:row r="248" ht="72" customHeight="1">
      <x:c r="A248" s="2"/>
      <x:c r="B248" s="2"/>
      <x:c r="C248" s="3"/>
      <x:c r="D248" s="2"/>
      <x:c r="E248" s="4"/>
      <x:c r="F248" s="3"/>
      <x:c r="G248" s="5"/>
      <x:c r="H248" s="2"/>
      <x:c r="I248" s="2"/>
      <x:c r="J248" s="2"/>
      <x:c r="K248" s="3"/>
      <x:c r="L248" s="10"/>
      <x:c r="M248" s="2"/>
      <x:c r="N248" s="2"/>
      <x:c r="O248" s="2"/>
      <x:c r="P248" s="9"/>
      <x:c r="Q248" s="2"/>
      <x:c r="R248" s="2"/>
      <x:c r="S248" s="10"/>
    </x:row>
    <x:row r="249" ht="72" customHeight="1">
      <x:c r="A249" s="2"/>
      <x:c r="B249" s="2"/>
      <x:c r="C249" s="3"/>
      <x:c r="D249" s="2"/>
      <x:c r="E249" s="4"/>
      <x:c r="F249" s="3"/>
      <x:c r="G249" s="5"/>
      <x:c r="H249" s="2"/>
      <x:c r="I249" s="2"/>
      <x:c r="J249" s="2"/>
      <x:c r="K249" s="3"/>
      <x:c r="L249" s="10"/>
      <x:c r="M249" s="2"/>
      <x:c r="N249" s="2"/>
      <x:c r="O249" s="2"/>
      <x:c r="P249" s="9"/>
      <x:c r="Q249" s="2"/>
      <x:c r="R249" s="2"/>
      <x:c r="S249" s="10"/>
    </x:row>
    <x:row r="250" ht="72" customHeight="1">
      <x:c r="A250" s="2"/>
      <x:c r="B250" s="2"/>
      <x:c r="C250" s="3"/>
      <x:c r="D250" s="2"/>
      <x:c r="E250" s="4"/>
      <x:c r="F250" s="3"/>
      <x:c r="G250" s="5"/>
      <x:c r="H250" s="2"/>
      <x:c r="I250" s="2"/>
      <x:c r="J250" s="2"/>
      <x:c r="K250" s="3"/>
      <x:c r="L250" s="10"/>
      <x:c r="M250" s="2"/>
      <x:c r="N250" s="2"/>
      <x:c r="O250" s="2"/>
      <x:c r="P250" s="9"/>
      <x:c r="Q250" s="2"/>
      <x:c r="R250" s="2"/>
      <x:c r="S250" s="10"/>
    </x:row>
    <x:row r="251" ht="72" customHeight="1">
      <x:c r="A251" s="2"/>
      <x:c r="B251" s="2"/>
      <x:c r="C251" s="3"/>
      <x:c r="D251" s="2"/>
      <x:c r="E251" s="4"/>
      <x:c r="F251" s="3"/>
      <x:c r="G251" s="5"/>
      <x:c r="H251" s="2"/>
      <x:c r="I251" s="2"/>
      <x:c r="J251" s="2"/>
      <x:c r="K251" s="3"/>
      <x:c r="L251" s="10"/>
      <x:c r="M251" s="2"/>
      <x:c r="N251" s="2"/>
      <x:c r="O251" s="2"/>
      <x:c r="P251" s="9"/>
      <x:c r="Q251" s="2"/>
      <x:c r="R251" s="2"/>
      <x:c r="S251" s="10"/>
    </x:row>
    <x:row r="252" ht="72" customHeight="1">
      <x:c r="A252" s="2"/>
      <x:c r="B252" s="2"/>
      <x:c r="C252" s="3"/>
      <x:c r="D252" s="2"/>
      <x:c r="E252" s="4"/>
      <x:c r="F252" s="3"/>
      <x:c r="G252" s="5"/>
      <x:c r="H252" s="2"/>
      <x:c r="I252" s="2"/>
      <x:c r="J252" s="2"/>
      <x:c r="K252" s="3"/>
      <x:c r="L252" s="10"/>
      <x:c r="M252" s="2"/>
      <x:c r="N252" s="2"/>
      <x:c r="O252" s="2"/>
      <x:c r="P252" s="9"/>
      <x:c r="Q252" s="2"/>
      <x:c r="R252" s="2"/>
      <x:c r="S252" s="10"/>
    </x:row>
    <x:row r="253" ht="72" customHeight="1">
      <x:c r="A253" s="2"/>
      <x:c r="B253" s="2"/>
      <x:c r="C253" s="3"/>
      <x:c r="D253" s="2"/>
      <x:c r="E253" s="4"/>
      <x:c r="F253" s="3"/>
      <x:c r="G253" s="5"/>
      <x:c r="H253" s="2"/>
      <x:c r="I253" s="2"/>
      <x:c r="J253" s="2"/>
      <x:c r="K253" s="3"/>
      <x:c r="L253" s="10"/>
      <x:c r="M253" s="2"/>
      <x:c r="N253" s="2"/>
      <x:c r="O253" s="2"/>
      <x:c r="P253" s="9"/>
      <x:c r="Q253" s="2"/>
      <x:c r="R253" s="2"/>
      <x:c r="S253" s="10"/>
    </x:row>
    <x:row r="254" ht="72" customHeight="1">
      <x:c r="A254" s="2"/>
      <x:c r="B254" s="2"/>
      <x:c r="C254" s="3"/>
      <x:c r="D254" s="2"/>
      <x:c r="E254" s="4"/>
      <x:c r="F254" s="3"/>
      <x:c r="G254" s="5"/>
      <x:c r="H254" s="2"/>
      <x:c r="I254" s="2"/>
      <x:c r="J254" s="2"/>
      <x:c r="K254" s="3"/>
      <x:c r="L254" s="10"/>
      <x:c r="M254" s="2"/>
      <x:c r="N254" s="2"/>
      <x:c r="O254" s="2"/>
      <x:c r="P254" s="9"/>
      <x:c r="Q254" s="2"/>
      <x:c r="R254" s="2"/>
      <x:c r="S254" s="10"/>
    </x:row>
    <x:row r="255" ht="72" customHeight="1">
      <x:c r="A255" s="2"/>
      <x:c r="B255" s="2"/>
      <x:c r="C255" s="3"/>
      <x:c r="D255" s="2"/>
      <x:c r="E255" s="4"/>
      <x:c r="F255" s="3"/>
      <x:c r="G255" s="5"/>
      <x:c r="H255" s="2"/>
      <x:c r="I255" s="2"/>
      <x:c r="J255" s="2"/>
      <x:c r="K255" s="3"/>
      <x:c r="L255" s="10"/>
      <x:c r="M255" s="2"/>
      <x:c r="N255" s="2"/>
      <x:c r="O255" s="2"/>
      <x:c r="P255" s="9"/>
      <x:c r="Q255" s="2"/>
      <x:c r="R255" s="2"/>
      <x:c r="S255" s="10"/>
    </x:row>
    <x:row r="256" ht="72" customHeight="1">
      <x:c r="A256" s="2"/>
      <x:c r="B256" s="2"/>
      <x:c r="C256" s="3"/>
      <x:c r="D256" s="2"/>
      <x:c r="E256" s="4"/>
      <x:c r="F256" s="3"/>
      <x:c r="G256" s="5"/>
      <x:c r="H256" s="2"/>
      <x:c r="I256" s="2"/>
      <x:c r="J256" s="2"/>
      <x:c r="K256" s="3"/>
      <x:c r="L256" s="10"/>
      <x:c r="M256" s="2"/>
      <x:c r="N256" s="2"/>
      <x:c r="O256" s="2"/>
      <x:c r="P256" s="9"/>
      <x:c r="Q256" s="2"/>
      <x:c r="R256" s="2"/>
      <x:c r="S256" s="10"/>
    </x:row>
    <x:row r="257" ht="72" customHeight="1">
      <x:c r="A257" s="2"/>
      <x:c r="B257" s="2"/>
      <x:c r="C257" s="3"/>
      <x:c r="D257" s="2"/>
      <x:c r="E257" s="4"/>
      <x:c r="F257" s="3"/>
      <x:c r="G257" s="5"/>
      <x:c r="H257" s="2"/>
      <x:c r="I257" s="2"/>
      <x:c r="J257" s="2"/>
      <x:c r="K257" s="3"/>
      <x:c r="L257" s="10"/>
      <x:c r="M257" s="2"/>
      <x:c r="N257" s="2"/>
      <x:c r="O257" s="2"/>
      <x:c r="P257" s="9"/>
      <x:c r="Q257" s="2"/>
      <x:c r="R257" s="2"/>
      <x:c r="S257" s="10"/>
    </x:row>
    <x:row r="258" ht="72" customHeight="1">
      <x:c r="A258" s="2"/>
      <x:c r="B258" s="2"/>
      <x:c r="C258" s="3"/>
      <x:c r="D258" s="2"/>
      <x:c r="E258" s="4"/>
      <x:c r="F258" s="3"/>
      <x:c r="G258" s="5"/>
      <x:c r="H258" s="2"/>
      <x:c r="I258" s="2"/>
      <x:c r="J258" s="2"/>
      <x:c r="K258" s="3"/>
      <x:c r="L258" s="10"/>
      <x:c r="M258" s="2"/>
      <x:c r="N258" s="2"/>
      <x:c r="O258" s="2"/>
      <x:c r="P258" s="9"/>
      <x:c r="Q258" s="2"/>
      <x:c r="R258" s="2"/>
      <x:c r="S258" s="10"/>
    </x:row>
    <x:row r="259" ht="72" customHeight="1">
      <x:c r="A259" s="2"/>
      <x:c r="B259" s="2"/>
      <x:c r="C259" s="3"/>
      <x:c r="D259" s="2"/>
      <x:c r="E259" s="4"/>
      <x:c r="F259" s="3"/>
      <x:c r="G259" s="5"/>
      <x:c r="H259" s="2"/>
      <x:c r="I259" s="2"/>
      <x:c r="J259" s="2"/>
      <x:c r="K259" s="3"/>
      <x:c r="L259" s="10"/>
      <x:c r="M259" s="2"/>
      <x:c r="N259" s="2"/>
      <x:c r="O259" s="2"/>
      <x:c r="P259" s="9"/>
      <x:c r="Q259" s="2"/>
      <x:c r="R259" s="2"/>
      <x:c r="S259" s="10"/>
    </x:row>
    <x:row r="260" ht="72" customHeight="1">
      <x:c r="A260" s="2"/>
      <x:c r="B260" s="2"/>
      <x:c r="C260" s="3"/>
      <x:c r="D260" s="2"/>
      <x:c r="E260" s="4"/>
      <x:c r="F260" s="3"/>
      <x:c r="G260" s="5"/>
      <x:c r="H260" s="2"/>
      <x:c r="I260" s="2"/>
      <x:c r="J260" s="2"/>
      <x:c r="K260" s="3"/>
      <x:c r="L260" s="10"/>
      <x:c r="M260" s="2"/>
      <x:c r="N260" s="2"/>
      <x:c r="O260" s="2"/>
      <x:c r="P260" s="9"/>
      <x:c r="Q260" s="2"/>
      <x:c r="R260" s="2"/>
      <x:c r="S260" s="10"/>
    </x:row>
    <x:row r="261" ht="72" customHeight="1">
      <x:c r="A261" s="2"/>
      <x:c r="B261" s="2"/>
      <x:c r="C261" s="3"/>
      <x:c r="D261" s="2"/>
      <x:c r="E261" s="4"/>
      <x:c r="F261" s="3"/>
      <x:c r="G261" s="5"/>
      <x:c r="H261" s="2"/>
      <x:c r="I261" s="2"/>
      <x:c r="J261" s="2"/>
      <x:c r="K261" s="3"/>
      <x:c r="L261" s="10"/>
      <x:c r="M261" s="2"/>
      <x:c r="N261" s="2"/>
      <x:c r="O261" s="2"/>
      <x:c r="P261" s="9"/>
      <x:c r="Q261" s="2"/>
      <x:c r="R261" s="2"/>
      <x:c r="S261" s="10"/>
    </x:row>
    <x:row r="262" ht="72" customHeight="1">
      <x:c r="A262" s="2"/>
      <x:c r="B262" s="2"/>
      <x:c r="C262" s="3"/>
      <x:c r="D262" s="2"/>
      <x:c r="E262" s="4"/>
      <x:c r="F262" s="3"/>
      <x:c r="G262" s="5"/>
      <x:c r="H262" s="2"/>
      <x:c r="I262" s="2"/>
      <x:c r="J262" s="2"/>
      <x:c r="K262" s="3"/>
      <x:c r="L262" s="10"/>
      <x:c r="M262" s="2"/>
      <x:c r="N262" s="2"/>
      <x:c r="O262" s="2"/>
      <x:c r="P262" s="9"/>
      <x:c r="Q262" s="2"/>
      <x:c r="R262" s="2"/>
      <x:c r="S262" s="10"/>
    </x:row>
    <x:row r="263" ht="72" customHeight="1">
      <x:c r="A263" s="2"/>
      <x:c r="B263" s="2"/>
      <x:c r="C263" s="3"/>
      <x:c r="D263" s="2"/>
      <x:c r="E263" s="4"/>
      <x:c r="F263" s="3"/>
      <x:c r="G263" s="5"/>
      <x:c r="H263" s="2"/>
      <x:c r="I263" s="2"/>
      <x:c r="J263" s="2"/>
      <x:c r="K263" s="3"/>
      <x:c r="L263" s="10"/>
      <x:c r="M263" s="2"/>
      <x:c r="N263" s="2"/>
      <x:c r="O263" s="2"/>
      <x:c r="P263" s="9"/>
      <x:c r="Q263" s="2"/>
      <x:c r="R263" s="2"/>
      <x:c r="S263" s="10"/>
    </x:row>
    <x:row r="264" ht="72" customHeight="1">
      <x:c r="A264" s="2"/>
      <x:c r="B264" s="2"/>
      <x:c r="C264" s="3"/>
      <x:c r="D264" s="2"/>
      <x:c r="E264" s="4"/>
      <x:c r="F264" s="3"/>
      <x:c r="G264" s="5"/>
      <x:c r="H264" s="2"/>
      <x:c r="I264" s="2"/>
      <x:c r="J264" s="2"/>
      <x:c r="K264" s="3"/>
      <x:c r="L264" s="10"/>
      <x:c r="M264" s="2"/>
      <x:c r="N264" s="2"/>
      <x:c r="O264" s="2"/>
      <x:c r="P264" s="9"/>
      <x:c r="Q264" s="2"/>
      <x:c r="R264" s="2"/>
      <x:c r="S264" s="10"/>
    </x:row>
    <x:row r="265" ht="72" customHeight="1">
      <x:c r="A265" s="2"/>
      <x:c r="B265" s="2"/>
      <x:c r="C265" s="3"/>
      <x:c r="D265" s="2"/>
      <x:c r="E265" s="4"/>
      <x:c r="F265" s="3"/>
      <x:c r="G265" s="5"/>
      <x:c r="H265" s="2"/>
      <x:c r="I265" s="2"/>
      <x:c r="J265" s="2"/>
      <x:c r="K265" s="3"/>
      <x:c r="L265" s="10"/>
      <x:c r="M265" s="2"/>
      <x:c r="N265" s="2"/>
      <x:c r="O265" s="2"/>
      <x:c r="P265" s="9"/>
      <x:c r="Q265" s="2"/>
      <x:c r="R265" s="2"/>
      <x:c r="S265" s="10"/>
    </x:row>
    <x:row r="266" ht="72" customHeight="1">
      <x:c r="A266" s="2"/>
      <x:c r="B266" s="2"/>
      <x:c r="C266" s="3"/>
      <x:c r="D266" s="2"/>
      <x:c r="E266" s="4"/>
      <x:c r="F266" s="3"/>
      <x:c r="G266" s="5"/>
      <x:c r="H266" s="2"/>
      <x:c r="I266" s="2"/>
      <x:c r="J266" s="2"/>
      <x:c r="K266" s="3"/>
      <x:c r="L266" s="10"/>
      <x:c r="M266" s="2"/>
      <x:c r="N266" s="2"/>
      <x:c r="O266" s="2"/>
      <x:c r="P266" s="9"/>
      <x:c r="Q266" s="2"/>
      <x:c r="R266" s="2"/>
      <x:c r="S266" s="10"/>
    </x:row>
    <x:row r="267" ht="72" customHeight="1">
      <x:c r="A267" s="2"/>
      <x:c r="B267" s="2"/>
      <x:c r="C267" s="3"/>
      <x:c r="D267" s="2"/>
      <x:c r="E267" s="4"/>
      <x:c r="F267" s="3"/>
      <x:c r="G267" s="5"/>
      <x:c r="H267" s="2"/>
      <x:c r="I267" s="2"/>
      <x:c r="J267" s="2"/>
      <x:c r="K267" s="3"/>
      <x:c r="L267" s="10"/>
      <x:c r="M267" s="2"/>
      <x:c r="N267" s="2"/>
      <x:c r="O267" s="2"/>
      <x:c r="P267" s="9"/>
      <x:c r="Q267" s="2"/>
      <x:c r="R267" s="2"/>
      <x:c r="S267" s="10"/>
    </x:row>
    <x:row r="268" ht="72" customHeight="1">
      <x:c r="A268" s="2"/>
      <x:c r="B268" s="2"/>
      <x:c r="C268" s="3"/>
      <x:c r="D268" s="2"/>
      <x:c r="E268" s="4"/>
      <x:c r="F268" s="3"/>
      <x:c r="G268" s="5"/>
      <x:c r="H268" s="2"/>
      <x:c r="I268" s="2"/>
      <x:c r="J268" s="2"/>
      <x:c r="K268" s="3"/>
      <x:c r="L268" s="10"/>
      <x:c r="M268" s="2"/>
      <x:c r="N268" s="2"/>
      <x:c r="O268" s="2"/>
      <x:c r="P268" s="9"/>
      <x:c r="Q268" s="2"/>
      <x:c r="R268" s="2"/>
      <x:c r="S268" s="10"/>
    </x:row>
    <x:row r="269" ht="72" customHeight="1">
      <x:c r="A269" s="2"/>
      <x:c r="B269" s="2"/>
      <x:c r="C269" s="7"/>
      <x:c r="D269" s="2"/>
      <x:c r="E269" s="12"/>
      <x:c r="F269" s="7"/>
      <x:c r="G269" s="11"/>
      <x:c r="H269" s="7"/>
      <x:c r="I269" s="7"/>
      <x:c r="J269" s="7"/>
      <x:c r="K269" s="7"/>
      <x:c r="L269" s="13"/>
      <x:c r="M269" s="7"/>
      <x:c r="N269" s="2"/>
      <x:c r="O269" s="2"/>
      <x:c r="P269" s="9"/>
      <x:c r="Q269" s="7"/>
      <x:c r="R269" s="2"/>
      <x:c r="S269" s="10"/>
    </x:row>
    <x:row r="270" ht="72" customHeight="1">
      <x:c r="A270" s="2"/>
      <x:c r="B270" s="2"/>
      <x:c r="C270" s="3"/>
      <x:c r="D270" s="2"/>
      <x:c r="E270" s="4"/>
      <x:c r="F270" s="3"/>
      <x:c r="G270" s="5"/>
      <x:c r="H270" s="2"/>
      <x:c r="I270" s="2"/>
      <x:c r="J270" s="2"/>
      <x:c r="K270" s="3"/>
      <x:c r="L270" s="10"/>
      <x:c r="M270" s="2"/>
      <x:c r="N270" s="2"/>
      <x:c r="O270" s="2"/>
      <x:c r="P270" s="9"/>
      <x:c r="Q270" s="2"/>
      <x:c r="R270" s="2"/>
      <x:c r="S270" s="10"/>
    </x:row>
    <x:row r="271" ht="72" customHeight="1">
      <x:c r="A271" s="2"/>
      <x:c r="B271" s="2"/>
      <x:c r="C271" s="3"/>
      <x:c r="D271" s="2"/>
      <x:c r="E271" s="4"/>
      <x:c r="F271" s="3"/>
      <x:c r="G271" s="5"/>
      <x:c r="H271" s="2"/>
      <x:c r="I271" s="2"/>
      <x:c r="J271" s="2"/>
      <x:c r="K271" s="3"/>
      <x:c r="L271" s="10"/>
      <x:c r="M271" s="2"/>
      <x:c r="N271" s="2"/>
      <x:c r="O271" s="2"/>
      <x:c r="P271" s="9"/>
      <x:c r="Q271" s="2"/>
      <x:c r="R271" s="2"/>
      <x:c r="S271" s="10"/>
    </x:row>
    <x:row r="272" ht="72" customHeight="1">
      <x:c r="A272" s="2"/>
      <x:c r="B272" s="2"/>
      <x:c r="C272" s="3"/>
      <x:c r="D272" s="2"/>
      <x:c r="E272" s="4"/>
      <x:c r="F272" s="3"/>
      <x:c r="G272" s="5"/>
      <x:c r="H272" s="2"/>
      <x:c r="I272" s="2"/>
      <x:c r="J272" s="2"/>
      <x:c r="K272" s="3"/>
      <x:c r="L272" s="10"/>
      <x:c r="M272" s="2"/>
      <x:c r="N272" s="2"/>
      <x:c r="O272" s="2"/>
      <x:c r="P272" s="9"/>
      <x:c r="Q272" s="2"/>
      <x:c r="R272" s="2"/>
      <x:c r="S272" s="10"/>
    </x:row>
    <x:row r="273" ht="72" customHeight="1">
      <x:c r="A273" s="2"/>
      <x:c r="B273" s="2"/>
      <x:c r="C273" s="3"/>
      <x:c r="D273" s="2"/>
      <x:c r="E273" s="4"/>
      <x:c r="F273" s="3"/>
      <x:c r="G273" s="5"/>
      <x:c r="H273" s="2"/>
      <x:c r="I273" s="2"/>
      <x:c r="J273" s="2"/>
      <x:c r="K273" s="3"/>
      <x:c r="L273" s="10"/>
      <x:c r="M273" s="2"/>
      <x:c r="N273" s="2"/>
      <x:c r="O273" s="2"/>
      <x:c r="P273" s="9"/>
      <x:c r="Q273" s="2"/>
      <x:c r="R273" s="2"/>
      <x:c r="S273" s="10"/>
    </x:row>
    <x:row r="274" ht="72" customHeight="1">
      <x:c r="A274" s="2"/>
      <x:c r="B274" s="2"/>
      <x:c r="C274" s="3"/>
      <x:c r="D274" s="2"/>
      <x:c r="E274" s="4"/>
      <x:c r="F274" s="3"/>
      <x:c r="G274" s="5"/>
      <x:c r="H274" s="2"/>
      <x:c r="I274" s="2"/>
      <x:c r="J274" s="2"/>
      <x:c r="K274" s="3"/>
      <x:c r="L274" s="10"/>
      <x:c r="M274" s="2"/>
      <x:c r="N274" s="2"/>
      <x:c r="O274" s="2"/>
      <x:c r="P274" s="9"/>
      <x:c r="Q274" s="2"/>
      <x:c r="R274" s="2"/>
      <x:c r="S274" s="10"/>
    </x:row>
    <x:row r="275" ht="72" customHeight="1">
      <x:c r="A275" s="2"/>
      <x:c r="B275" s="2"/>
      <x:c r="C275" s="3"/>
      <x:c r="D275" s="2"/>
      <x:c r="E275" s="4"/>
      <x:c r="F275" s="3"/>
      <x:c r="G275" s="5"/>
      <x:c r="H275" s="2"/>
      <x:c r="I275" s="2"/>
      <x:c r="J275" s="2"/>
      <x:c r="K275" s="3"/>
      <x:c r="L275" s="10"/>
      <x:c r="M275" s="2"/>
      <x:c r="N275" s="2"/>
      <x:c r="O275" s="2"/>
      <x:c r="P275" s="9"/>
      <x:c r="Q275" s="2"/>
      <x:c r="R275" s="2"/>
      <x:c r="S275" s="10"/>
    </x:row>
    <x:row r="276" ht="72" customHeight="1">
      <x:c r="A276" s="2"/>
      <x:c r="B276" s="2"/>
      <x:c r="C276" s="3"/>
      <x:c r="D276" s="2"/>
      <x:c r="E276" s="4"/>
      <x:c r="F276" s="3"/>
      <x:c r="G276" s="5"/>
      <x:c r="H276" s="2"/>
      <x:c r="I276" s="2"/>
      <x:c r="J276" s="2"/>
      <x:c r="K276" s="3"/>
      <x:c r="L276" s="10"/>
      <x:c r="M276" s="2"/>
      <x:c r="N276" s="2"/>
      <x:c r="O276" s="2"/>
      <x:c r="P276" s="9"/>
      <x:c r="Q276" s="2"/>
      <x:c r="R276" s="2"/>
      <x:c r="S276" s="10"/>
    </x:row>
    <x:row r="277" ht="72" customHeight="1">
      <x:c r="A277" s="2"/>
      <x:c r="B277" s="2"/>
      <x:c r="C277" s="3"/>
      <x:c r="D277" s="2"/>
      <x:c r="E277" s="4"/>
      <x:c r="F277" s="3"/>
      <x:c r="G277" s="5"/>
      <x:c r="H277" s="2"/>
      <x:c r="I277" s="2"/>
      <x:c r="J277" s="2"/>
      <x:c r="K277" s="3"/>
      <x:c r="L277" s="10"/>
      <x:c r="M277" s="2"/>
      <x:c r="N277" s="2"/>
      <x:c r="O277" s="2"/>
      <x:c r="P277" s="9"/>
      <x:c r="Q277" s="2"/>
      <x:c r="R277" s="2"/>
      <x:c r="S277" s="10"/>
    </x:row>
    <x:row r="278" ht="72" customHeight="1">
      <x:c r="A278" s="2"/>
      <x:c r="B278" s="2"/>
      <x:c r="C278" s="3"/>
      <x:c r="D278" s="2"/>
      <x:c r="E278" s="4"/>
      <x:c r="F278" s="3"/>
      <x:c r="G278" s="5"/>
      <x:c r="H278" s="2"/>
      <x:c r="I278" s="2"/>
      <x:c r="J278" s="2"/>
      <x:c r="K278" s="3"/>
      <x:c r="L278" s="10"/>
      <x:c r="M278" s="2"/>
      <x:c r="N278" s="2"/>
      <x:c r="O278" s="2"/>
      <x:c r="P278" s="9"/>
      <x:c r="Q278" s="2"/>
      <x:c r="R278" s="2"/>
      <x:c r="S278" s="10"/>
    </x:row>
    <x:row r="279" ht="72" customHeight="1">
      <x:c r="A279" s="2"/>
      <x:c r="B279" s="2"/>
      <x:c r="C279" s="3"/>
      <x:c r="D279" s="2"/>
      <x:c r="E279" s="4"/>
      <x:c r="F279" s="3"/>
      <x:c r="G279" s="5"/>
      <x:c r="H279" s="2"/>
      <x:c r="I279" s="2"/>
      <x:c r="J279" s="2"/>
      <x:c r="K279" s="3"/>
      <x:c r="L279" s="10"/>
      <x:c r="M279" s="2"/>
      <x:c r="N279" s="2"/>
      <x:c r="O279" s="2"/>
      <x:c r="P279" s="9"/>
      <x:c r="Q279" s="2"/>
      <x:c r="R279" s="2"/>
      <x:c r="S279" s="10"/>
    </x:row>
    <x:row r="280" ht="72" customHeight="1">
      <x:c r="A280" s="2"/>
      <x:c r="B280" s="2"/>
      <x:c r="C280" s="3"/>
      <x:c r="D280" s="2"/>
      <x:c r="E280" s="4"/>
      <x:c r="F280" s="3"/>
      <x:c r="G280" s="5"/>
      <x:c r="H280" s="2"/>
      <x:c r="I280" s="2"/>
      <x:c r="J280" s="2"/>
      <x:c r="K280" s="3"/>
      <x:c r="L280" s="10"/>
      <x:c r="M280" s="2"/>
      <x:c r="N280" s="2"/>
      <x:c r="O280" s="2"/>
      <x:c r="P280" s="9"/>
      <x:c r="Q280" s="2"/>
      <x:c r="R280" s="2"/>
      <x:c r="S280" s="10"/>
    </x:row>
    <x:row r="281" ht="72" customHeight="1">
      <x:c r="A281" s="2"/>
      <x:c r="B281" s="2"/>
      <x:c r="C281" s="3"/>
      <x:c r="D281" s="2"/>
      <x:c r="E281" s="4"/>
      <x:c r="F281" s="3"/>
      <x:c r="G281" s="5"/>
      <x:c r="H281" s="2"/>
      <x:c r="I281" s="2"/>
      <x:c r="J281" s="2"/>
      <x:c r="K281" s="3"/>
      <x:c r="L281" s="10"/>
      <x:c r="M281" s="2"/>
      <x:c r="N281" s="2"/>
      <x:c r="O281" s="2"/>
      <x:c r="P281" s="9"/>
      <x:c r="Q281" s="2"/>
      <x:c r="R281" s="2"/>
      <x:c r="S281" s="10"/>
    </x:row>
    <x:row r="282" ht="72" customHeight="1">
      <x:c r="A282" s="2"/>
      <x:c r="B282" s="2"/>
      <x:c r="C282" s="3"/>
      <x:c r="D282" s="2"/>
      <x:c r="E282" s="4"/>
      <x:c r="F282" s="3"/>
      <x:c r="G282" s="5"/>
      <x:c r="H282" s="2"/>
      <x:c r="I282" s="2"/>
      <x:c r="J282" s="2"/>
      <x:c r="K282" s="3"/>
      <x:c r="L282" s="10"/>
      <x:c r="M282" s="2"/>
      <x:c r="N282" s="2"/>
      <x:c r="O282" s="2"/>
      <x:c r="P282" s="9"/>
      <x:c r="Q282" s="2"/>
      <x:c r="R282" s="2"/>
      <x:c r="S282" s="10"/>
    </x:row>
    <x:row r="283" ht="72" customHeight="1">
      <x:c r="A283" s="2"/>
      <x:c r="B283" s="2"/>
      <x:c r="C283" s="3"/>
      <x:c r="D283" s="2"/>
      <x:c r="E283" s="4"/>
      <x:c r="F283" s="3"/>
      <x:c r="G283" s="5"/>
      <x:c r="H283" s="2"/>
      <x:c r="I283" s="2"/>
      <x:c r="J283" s="2"/>
      <x:c r="K283" s="3"/>
      <x:c r="L283" s="10"/>
      <x:c r="M283" s="2"/>
      <x:c r="N283" s="2"/>
      <x:c r="O283" s="2"/>
      <x:c r="P283" s="9"/>
      <x:c r="Q283" s="2"/>
      <x:c r="R283" s="2"/>
      <x:c r="S283" s="10"/>
    </x:row>
    <x:row r="284" ht="72" customHeight="1">
      <x:c r="A284" s="2"/>
      <x:c r="B284" s="2"/>
      <x:c r="C284" s="3"/>
      <x:c r="D284" s="2"/>
      <x:c r="E284" s="4"/>
      <x:c r="F284" s="3"/>
      <x:c r="G284" s="5"/>
      <x:c r="H284" s="2"/>
      <x:c r="I284" s="2"/>
      <x:c r="J284" s="2"/>
      <x:c r="K284" s="3"/>
      <x:c r="L284" s="10"/>
      <x:c r="M284" s="2"/>
      <x:c r="N284" s="2"/>
      <x:c r="O284" s="2"/>
      <x:c r="P284" s="9"/>
      <x:c r="Q284" s="2"/>
      <x:c r="R284" s="2"/>
      <x:c r="S284" s="10"/>
    </x:row>
    <x:row r="285" ht="72" customHeight="1">
      <x:c r="A285" s="2"/>
      <x:c r="B285" s="2"/>
      <x:c r="C285" s="3"/>
      <x:c r="D285" s="2"/>
      <x:c r="E285" s="4"/>
      <x:c r="F285" s="3"/>
      <x:c r="G285" s="5"/>
      <x:c r="H285" s="2"/>
      <x:c r="I285" s="2"/>
      <x:c r="J285" s="2"/>
      <x:c r="K285" s="3"/>
      <x:c r="L285" s="10"/>
      <x:c r="M285" s="2"/>
      <x:c r="N285" s="2"/>
      <x:c r="O285" s="2"/>
      <x:c r="P285" s="9"/>
      <x:c r="Q285" s="2"/>
      <x:c r="R285" s="2"/>
      <x:c r="S285" s="10"/>
    </x:row>
    <x:row r="286" ht="72" customHeight="1">
      <x:c r="A286" s="2"/>
      <x:c r="B286" s="2"/>
      <x:c r="C286" s="3"/>
      <x:c r="D286" s="2"/>
      <x:c r="E286" s="12"/>
      <x:c r="F286" s="7"/>
      <x:c r="G286" s="11"/>
      <x:c r="H286" s="7"/>
      <x:c r="I286" s="7"/>
      <x:c r="J286" s="7"/>
      <x:c r="K286" s="7"/>
      <x:c r="L286" s="13"/>
      <x:c r="M286" s="7"/>
      <x:c r="N286" s="2"/>
      <x:c r="O286" s="2"/>
      <x:c r="P286" s="9"/>
      <x:c r="Q286" s="7"/>
      <x:c r="R286" s="2"/>
      <x:c r="S286" s="10"/>
    </x:row>
    <x:row r="287" ht="72" customHeight="1">
      <x:c r="A287" s="2"/>
      <x:c r="B287" s="2"/>
      <x:c r="C287" s="3"/>
      <x:c r="D287" s="2"/>
      <x:c r="E287" s="12"/>
      <x:c r="F287" s="7"/>
      <x:c r="G287" s="11"/>
      <x:c r="H287" s="7"/>
      <x:c r="I287" s="7"/>
      <x:c r="J287" s="7"/>
      <x:c r="K287" s="7"/>
      <x:c r="L287" s="13"/>
      <x:c r="M287" s="7"/>
      <x:c r="N287" s="2"/>
      <x:c r="O287" s="2"/>
      <x:c r="P287" s="9"/>
      <x:c r="Q287" s="7"/>
      <x:c r="R287" s="2"/>
      <x:c r="S287" s="10"/>
    </x:row>
    <x:row r="288" ht="72" customHeight="1">
      <x:c r="A288" s="2"/>
      <x:c r="B288" s="2"/>
      <x:c r="C288" s="3"/>
      <x:c r="D288" s="2"/>
      <x:c r="E288" s="4"/>
      <x:c r="F288" s="3"/>
      <x:c r="G288" s="5"/>
      <x:c r="H288" s="2"/>
      <x:c r="I288" s="2"/>
      <x:c r="J288" s="2"/>
      <x:c r="K288" s="3"/>
      <x:c r="L288" s="10"/>
      <x:c r="M288" s="2"/>
      <x:c r="N288" s="2"/>
      <x:c r="O288" s="2"/>
      <x:c r="P288" s="9"/>
      <x:c r="Q288" s="2"/>
      <x:c r="R288" s="2"/>
      <x:c r="S288" s="10"/>
    </x:row>
    <x:row r="289" ht="72" customHeight="1">
      <x:c r="A289" s="2"/>
      <x:c r="B289" s="2"/>
      <x:c r="C289" s="3"/>
      <x:c r="D289" s="2"/>
      <x:c r="E289" s="4"/>
      <x:c r="F289" s="3"/>
      <x:c r="G289" s="5"/>
      <x:c r="H289" s="2"/>
      <x:c r="I289" s="2"/>
      <x:c r="J289" s="2"/>
      <x:c r="K289" s="3"/>
      <x:c r="L289" s="10"/>
      <x:c r="M289" s="2"/>
      <x:c r="N289" s="2"/>
      <x:c r="O289" s="2"/>
      <x:c r="P289" s="9"/>
      <x:c r="Q289" s="2"/>
      <x:c r="R289" s="2"/>
      <x:c r="S289" s="10"/>
    </x:row>
    <x:row r="290" ht="72" customHeight="1">
      <x:c r="A290" s="2"/>
      <x:c r="B290" s="2"/>
      <x:c r="C290" s="3"/>
      <x:c r="D290" s="2"/>
      <x:c r="E290" s="4"/>
      <x:c r="F290" s="3"/>
      <x:c r="G290" s="5"/>
      <x:c r="H290" s="2"/>
      <x:c r="I290" s="2"/>
      <x:c r="J290" s="2"/>
      <x:c r="K290" s="3"/>
      <x:c r="L290" s="10"/>
      <x:c r="M290" s="2"/>
      <x:c r="N290" s="2"/>
      <x:c r="O290" s="2"/>
      <x:c r="P290" s="9"/>
      <x:c r="Q290" s="2"/>
      <x:c r="R290" s="2"/>
      <x:c r="S290" s="10"/>
    </x:row>
    <x:row r="291" ht="72" customHeight="1">
      <x:c r="A291" s="2"/>
      <x:c r="B291" s="2"/>
      <x:c r="C291" s="3"/>
      <x:c r="D291" s="2"/>
      <x:c r="E291" s="4"/>
      <x:c r="F291" s="3"/>
      <x:c r="G291" s="5"/>
      <x:c r="H291" s="2"/>
      <x:c r="I291" s="2"/>
      <x:c r="J291" s="2"/>
      <x:c r="K291" s="3"/>
      <x:c r="L291" s="10"/>
      <x:c r="M291" s="2"/>
      <x:c r="N291" s="2"/>
      <x:c r="O291" s="2"/>
      <x:c r="P291" s="9"/>
      <x:c r="Q291" s="2"/>
      <x:c r="R291" s="2"/>
      <x:c r="S291" s="10"/>
    </x:row>
    <x:row r="292" ht="72" customHeight="1">
      <x:c r="A292" s="2"/>
      <x:c r="B292" s="2"/>
      <x:c r="C292" s="3"/>
      <x:c r="D292" s="2"/>
      <x:c r="E292" s="4"/>
      <x:c r="F292" s="3"/>
      <x:c r="G292" s="5"/>
      <x:c r="H292" s="2"/>
      <x:c r="I292" s="2"/>
      <x:c r="J292" s="2"/>
      <x:c r="K292" s="3"/>
      <x:c r="L292" s="10"/>
      <x:c r="M292" s="2"/>
      <x:c r="N292" s="2"/>
      <x:c r="O292" s="2"/>
      <x:c r="P292" s="9"/>
      <x:c r="Q292" s="2"/>
      <x:c r="R292" s="2"/>
      <x:c r="S292" s="10"/>
    </x:row>
    <x:row r="293" ht="72" customHeight="1">
      <x:c r="A293" s="2"/>
      <x:c r="B293" s="2"/>
      <x:c r="C293" s="3"/>
      <x:c r="D293" s="2"/>
      <x:c r="E293" s="12"/>
      <x:c r="F293" s="7"/>
      <x:c r="G293" s="11"/>
      <x:c r="H293" s="7"/>
      <x:c r="I293" s="7"/>
      <x:c r="J293" s="7"/>
      <x:c r="K293" s="7"/>
      <x:c r="L293" s="13"/>
      <x:c r="M293" s="7"/>
      <x:c r="N293" s="2"/>
      <x:c r="O293" s="2"/>
      <x:c r="P293" s="9"/>
      <x:c r="Q293" s="7"/>
      <x:c r="R293" s="2"/>
      <x:c r="S293" s="10"/>
    </x:row>
    <x:row r="294" ht="72" customHeight="1">
      <x:c r="A294" s="2"/>
      <x:c r="B294" s="2"/>
      <x:c r="C294" s="3"/>
      <x:c r="D294" s="2"/>
      <x:c r="E294" s="4"/>
      <x:c r="F294" s="3"/>
      <x:c r="G294" s="5"/>
      <x:c r="H294" s="2"/>
      <x:c r="I294" s="2"/>
      <x:c r="J294" s="2"/>
      <x:c r="K294" s="3"/>
      <x:c r="L294" s="10"/>
      <x:c r="M294" s="2"/>
      <x:c r="N294" s="2"/>
      <x:c r="O294" s="2"/>
      <x:c r="P294" s="9"/>
      <x:c r="Q294" s="2"/>
      <x:c r="R294" s="2"/>
      <x:c r="S294" s="10"/>
    </x:row>
    <x:row r="295" ht="72" customHeight="1">
      <x:c r="A295" s="2"/>
      <x:c r="B295" s="2"/>
      <x:c r="C295" s="3"/>
      <x:c r="D295" s="2"/>
      <x:c r="E295" s="4"/>
      <x:c r="F295" s="3"/>
      <x:c r="G295" s="5"/>
      <x:c r="H295" s="2"/>
      <x:c r="I295" s="2"/>
      <x:c r="J295" s="2"/>
      <x:c r="K295" s="3"/>
      <x:c r="L295" s="10"/>
      <x:c r="M295" s="2"/>
      <x:c r="N295" s="2"/>
      <x:c r="O295" s="2"/>
      <x:c r="P295" s="9"/>
      <x:c r="Q295" s="2"/>
      <x:c r="R295" s="2"/>
      <x:c r="S295" s="10"/>
    </x:row>
    <x:row r="296" ht="72" customHeight="1">
      <x:c r="A296" s="2"/>
      <x:c r="B296" s="2"/>
      <x:c r="C296" s="3"/>
      <x:c r="D296" s="2"/>
      <x:c r="E296" s="4"/>
      <x:c r="F296" s="3"/>
      <x:c r="G296" s="5"/>
      <x:c r="H296" s="2"/>
      <x:c r="I296" s="2"/>
      <x:c r="J296" s="2"/>
      <x:c r="K296" s="3"/>
      <x:c r="L296" s="10"/>
      <x:c r="M296" s="2"/>
      <x:c r="N296" s="2"/>
      <x:c r="O296" s="2"/>
      <x:c r="P296" s="9"/>
      <x:c r="Q296" s="2"/>
      <x:c r="R296" s="2"/>
      <x:c r="S296" s="10"/>
    </x:row>
    <x:row r="297" ht="72" customHeight="1">
      <x:c r="A297" s="2"/>
      <x:c r="B297" s="2"/>
      <x:c r="C297" s="3"/>
      <x:c r="D297" s="2"/>
      <x:c r="E297" s="4"/>
      <x:c r="F297" s="3"/>
      <x:c r="G297" s="5"/>
      <x:c r="H297" s="2"/>
      <x:c r="I297" s="2"/>
      <x:c r="J297" s="2"/>
      <x:c r="K297" s="3"/>
      <x:c r="L297" s="10"/>
      <x:c r="M297" s="2"/>
      <x:c r="N297" s="2"/>
      <x:c r="O297" s="2"/>
      <x:c r="P297" s="9"/>
      <x:c r="Q297" s="2"/>
      <x:c r="R297" s="2"/>
      <x:c r="S297" s="10"/>
    </x:row>
    <x:row r="298" ht="72" customHeight="1">
      <x:c r="A298" s="2"/>
      <x:c r="B298" s="2"/>
      <x:c r="C298" s="3"/>
      <x:c r="D298" s="2"/>
      <x:c r="E298" s="4"/>
      <x:c r="F298" s="3"/>
      <x:c r="G298" s="5"/>
      <x:c r="H298" s="2"/>
      <x:c r="I298" s="2"/>
      <x:c r="J298" s="2"/>
      <x:c r="K298" s="3"/>
      <x:c r="L298" s="10"/>
      <x:c r="M298" s="2"/>
      <x:c r="N298" s="2"/>
      <x:c r="O298" s="2"/>
      <x:c r="P298" s="9"/>
      <x:c r="Q298" s="2"/>
      <x:c r="R298" s="2"/>
      <x:c r="S298" s="10"/>
    </x:row>
    <x:row r="299" ht="72" customHeight="1">
      <x:c r="A299" s="2"/>
      <x:c r="B299" s="2"/>
      <x:c r="C299" s="3"/>
      <x:c r="D299" s="2"/>
      <x:c r="E299" s="4"/>
      <x:c r="F299" s="3"/>
      <x:c r="G299" s="5"/>
      <x:c r="H299" s="2"/>
      <x:c r="I299" s="2"/>
      <x:c r="J299" s="2"/>
      <x:c r="K299" s="3"/>
      <x:c r="L299" s="10"/>
      <x:c r="M299" s="2"/>
      <x:c r="N299" s="2"/>
      <x:c r="O299" s="2"/>
      <x:c r="P299" s="9"/>
      <x:c r="Q299" s="2"/>
      <x:c r="R299" s="2"/>
      <x:c r="S299" s="10"/>
    </x:row>
    <x:row r="300" ht="72" customHeight="1">
      <x:c r="A300" s="2"/>
      <x:c r="B300" s="2"/>
      <x:c r="C300" s="3"/>
      <x:c r="D300" s="2"/>
      <x:c r="E300" s="4"/>
      <x:c r="F300" s="3"/>
      <x:c r="G300" s="5"/>
      <x:c r="H300" s="2"/>
      <x:c r="I300" s="2"/>
      <x:c r="J300" s="2"/>
      <x:c r="K300" s="3"/>
      <x:c r="L300" s="10"/>
      <x:c r="M300" s="2"/>
      <x:c r="N300" s="2"/>
      <x:c r="O300" s="2"/>
      <x:c r="P300" s="9"/>
      <x:c r="Q300" s="2"/>
      <x:c r="R300" s="2"/>
      <x:c r="S300" s="10"/>
    </x:row>
    <x:row r="301" ht="72" customHeight="1">
      <x:c r="A301" s="2"/>
      <x:c r="B301" s="2"/>
      <x:c r="C301" s="3"/>
      <x:c r="D301" s="2"/>
      <x:c r="E301" s="4"/>
      <x:c r="F301" s="3"/>
      <x:c r="G301" s="11"/>
      <x:c r="H301" s="2"/>
      <x:c r="I301" s="2"/>
      <x:c r="J301" s="2"/>
      <x:c r="K301" s="3"/>
      <x:c r="L301" s="10"/>
      <x:c r="M301" s="2"/>
      <x:c r="N301" s="2"/>
      <x:c r="O301" s="2"/>
      <x:c r="P301" s="9"/>
      <x:c r="Q301" s="2"/>
      <x:c r="R301" s="2"/>
      <x:c r="S301" s="10"/>
    </x:row>
    <x:row r="302" ht="72" customHeight="1">
      <x:c r="A302" s="2"/>
      <x:c r="B302" s="2"/>
      <x:c r="C302" s="3"/>
      <x:c r="D302" s="2"/>
      <x:c r="E302" s="4"/>
      <x:c r="F302" s="3"/>
      <x:c r="G302" s="5"/>
      <x:c r="H302" s="2"/>
      <x:c r="I302" s="2"/>
      <x:c r="J302" s="2"/>
      <x:c r="K302" s="3"/>
      <x:c r="L302" s="10"/>
      <x:c r="M302" s="2"/>
      <x:c r="N302" s="2"/>
      <x:c r="O302" s="2"/>
      <x:c r="P302" s="9"/>
      <x:c r="Q302" s="2"/>
      <x:c r="R302" s="2"/>
      <x:c r="S302" s="10"/>
    </x:row>
    <x:row r="303" ht="72" customHeight="1">
      <x:c r="A303" s="2"/>
      <x:c r="B303" s="2"/>
      <x:c r="C303" s="3"/>
      <x:c r="D303" s="2"/>
      <x:c r="E303" s="4"/>
      <x:c r="F303" s="3"/>
      <x:c r="G303" s="5"/>
      <x:c r="H303" s="2"/>
      <x:c r="I303" s="2"/>
      <x:c r="J303" s="2"/>
      <x:c r="K303" s="3"/>
      <x:c r="L303" s="10"/>
      <x:c r="M303" s="2"/>
      <x:c r="N303" s="2"/>
      <x:c r="O303" s="2"/>
      <x:c r="P303" s="9"/>
      <x:c r="Q303" s="2"/>
      <x:c r="R303" s="2"/>
      <x:c r="S303" s="10"/>
    </x:row>
    <x:row r="304" ht="72" customHeight="1">
      <x:c r="A304" s="2"/>
      <x:c r="B304" s="2"/>
      <x:c r="C304" s="3"/>
      <x:c r="D304" s="2"/>
      <x:c r="E304" s="4"/>
      <x:c r="F304" s="3"/>
      <x:c r="G304" s="5"/>
      <x:c r="H304" s="2"/>
      <x:c r="I304" s="2"/>
      <x:c r="J304" s="2"/>
      <x:c r="K304" s="3"/>
      <x:c r="L304" s="10"/>
      <x:c r="M304" s="2"/>
      <x:c r="N304" s="2"/>
      <x:c r="O304" s="2"/>
      <x:c r="P304" s="9"/>
      <x:c r="Q304" s="2"/>
      <x:c r="R304" s="2"/>
      <x:c r="S304" s="10"/>
    </x:row>
    <x:row r="305" ht="72" customHeight="1">
      <x:c r="A305" s="2"/>
      <x:c r="B305" s="2"/>
      <x:c r="C305" s="3"/>
      <x:c r="D305" s="2"/>
      <x:c r="E305" s="4"/>
      <x:c r="F305" s="3"/>
      <x:c r="G305" s="5"/>
      <x:c r="H305" s="2"/>
      <x:c r="I305" s="2"/>
      <x:c r="J305" s="2"/>
      <x:c r="K305" s="3"/>
      <x:c r="L305" s="10"/>
      <x:c r="M305" s="2"/>
      <x:c r="N305" s="2"/>
      <x:c r="O305" s="2"/>
      <x:c r="P305" s="9"/>
      <x:c r="Q305" s="2"/>
      <x:c r="R305" s="2"/>
      <x:c r="S305" s="10"/>
    </x:row>
    <x:row r="306" ht="72" customHeight="1">
      <x:c r="A306" s="2"/>
      <x:c r="B306" s="2"/>
      <x:c r="C306" s="3"/>
      <x:c r="D306" s="2"/>
      <x:c r="E306" s="4"/>
      <x:c r="F306" s="3"/>
      <x:c r="G306" s="5"/>
      <x:c r="H306" s="2"/>
      <x:c r="I306" s="2"/>
      <x:c r="J306" s="2"/>
      <x:c r="K306" s="3"/>
      <x:c r="L306" s="10"/>
      <x:c r="M306" s="2"/>
      <x:c r="N306" s="2"/>
      <x:c r="O306" s="2"/>
      <x:c r="P306" s="9"/>
      <x:c r="Q306" s="2"/>
      <x:c r="R306" s="2"/>
      <x:c r="S306" s="10"/>
    </x:row>
    <x:row r="307" ht="72" customHeight="1">
      <x:c r="A307" s="2"/>
      <x:c r="B307" s="2"/>
      <x:c r="C307" s="3"/>
      <x:c r="D307" s="2"/>
      <x:c r="E307" s="4"/>
      <x:c r="F307" s="3"/>
      <x:c r="G307" s="5"/>
      <x:c r="H307" s="2"/>
      <x:c r="I307" s="2"/>
      <x:c r="J307" s="2"/>
      <x:c r="K307" s="3"/>
      <x:c r="L307" s="10"/>
      <x:c r="M307" s="2"/>
      <x:c r="N307" s="2"/>
      <x:c r="O307" s="2"/>
      <x:c r="P307" s="9"/>
      <x:c r="Q307" s="2"/>
      <x:c r="R307" s="2"/>
      <x:c r="S307" s="10"/>
    </x:row>
    <x:row r="308" ht="72" customHeight="1">
      <x:c r="A308" s="2"/>
      <x:c r="B308" s="2"/>
      <x:c r="C308" s="3"/>
      <x:c r="D308" s="2"/>
      <x:c r="E308" s="4"/>
      <x:c r="F308" s="3"/>
      <x:c r="G308" s="5"/>
      <x:c r="H308" s="2"/>
      <x:c r="I308" s="2"/>
      <x:c r="J308" s="2"/>
      <x:c r="K308" s="3"/>
      <x:c r="L308" s="10"/>
      <x:c r="M308" s="2"/>
      <x:c r="N308" s="2"/>
      <x:c r="O308" s="2"/>
      <x:c r="P308" s="9"/>
      <x:c r="Q308" s="2"/>
      <x:c r="R308" s="2"/>
      <x:c r="S308" s="10"/>
    </x:row>
    <x:row r="309" ht="72" customHeight="1">
      <x:c r="A309" s="2"/>
      <x:c r="B309" s="2"/>
      <x:c r="C309" s="3"/>
      <x:c r="D309" s="2"/>
      <x:c r="E309" s="4"/>
      <x:c r="F309" s="3"/>
      <x:c r="G309" s="5"/>
      <x:c r="H309" s="2"/>
      <x:c r="I309" s="2"/>
      <x:c r="J309" s="2"/>
      <x:c r="K309" s="3"/>
      <x:c r="L309" s="10"/>
      <x:c r="M309" s="2"/>
      <x:c r="N309" s="2"/>
      <x:c r="O309" s="2"/>
      <x:c r="P309" s="9"/>
      <x:c r="Q309" s="2"/>
      <x:c r="R309" s="2"/>
      <x:c r="S309" s="10"/>
    </x:row>
    <x:row r="310" ht="72" customHeight="1">
      <x:c r="A310" s="2"/>
      <x:c r="B310" s="2"/>
      <x:c r="C310" s="3"/>
      <x:c r="D310" s="2"/>
      <x:c r="E310" s="4"/>
      <x:c r="F310" s="3"/>
      <x:c r="G310" s="5"/>
      <x:c r="H310" s="2"/>
      <x:c r="I310" s="2"/>
      <x:c r="J310" s="2"/>
      <x:c r="K310" s="3"/>
      <x:c r="L310" s="10"/>
      <x:c r="M310" s="2"/>
      <x:c r="N310" s="2"/>
      <x:c r="O310" s="2"/>
      <x:c r="P310" s="9"/>
      <x:c r="Q310" s="2"/>
      <x:c r="R310" s="2"/>
      <x:c r="S310" s="10"/>
    </x:row>
    <x:row r="311" ht="72" customHeight="1">
      <x:c r="A311" s="2"/>
      <x:c r="B311" s="2"/>
      <x:c r="C311" s="3"/>
      <x:c r="D311" s="2"/>
      <x:c r="E311" s="4"/>
      <x:c r="F311" s="3"/>
      <x:c r="G311" s="5"/>
      <x:c r="H311" s="2"/>
      <x:c r="I311" s="2"/>
      <x:c r="J311" s="2"/>
      <x:c r="K311" s="3"/>
      <x:c r="L311" s="10"/>
      <x:c r="M311" s="2"/>
      <x:c r="N311" s="2"/>
      <x:c r="O311" s="2"/>
      <x:c r="P311" s="9"/>
      <x:c r="Q311" s="2"/>
      <x:c r="R311" s="2"/>
      <x:c r="S311" s="10"/>
    </x:row>
    <x:row r="312" ht="72" customHeight="1">
      <x:c r="A312" s="2"/>
      <x:c r="B312" s="2"/>
      <x:c r="C312" s="3"/>
      <x:c r="D312" s="2"/>
      <x:c r="E312" s="4"/>
      <x:c r="F312" s="3"/>
      <x:c r="G312" s="5"/>
      <x:c r="H312" s="2"/>
      <x:c r="I312" s="2"/>
      <x:c r="J312" s="2"/>
      <x:c r="K312" s="3"/>
      <x:c r="L312" s="10"/>
      <x:c r="M312" s="2"/>
      <x:c r="N312" s="2"/>
      <x:c r="O312" s="2"/>
      <x:c r="P312" s="9"/>
      <x:c r="Q312" s="2"/>
      <x:c r="R312" s="2"/>
      <x:c r="S312" s="10"/>
    </x:row>
    <x:row r="313" ht="72" customHeight="1">
      <x:c r="A313" s="2"/>
      <x:c r="B313" s="2"/>
      <x:c r="C313" s="3"/>
      <x:c r="D313" s="2"/>
      <x:c r="E313" s="4"/>
      <x:c r="F313" s="3"/>
      <x:c r="G313" s="5"/>
      <x:c r="H313" s="2"/>
      <x:c r="I313" s="2"/>
      <x:c r="J313" s="2"/>
      <x:c r="K313" s="3"/>
      <x:c r="L313" s="10"/>
      <x:c r="M313" s="2"/>
      <x:c r="N313" s="2"/>
      <x:c r="O313" s="2"/>
      <x:c r="P313" s="9"/>
      <x:c r="Q313" s="2"/>
      <x:c r="R313" s="2"/>
      <x:c r="S313" s="10"/>
    </x:row>
    <x:row r="314" ht="72" customHeight="1">
      <x:c r="A314" s="2"/>
      <x:c r="B314" s="2"/>
      <x:c r="C314" s="3"/>
      <x:c r="D314" s="2"/>
      <x:c r="E314" s="4"/>
      <x:c r="F314" s="3"/>
      <x:c r="G314" s="5"/>
      <x:c r="H314" s="2"/>
      <x:c r="I314" s="2"/>
      <x:c r="J314" s="2"/>
      <x:c r="K314" s="3"/>
      <x:c r="L314" s="10"/>
      <x:c r="M314" s="2"/>
      <x:c r="N314" s="2"/>
      <x:c r="O314" s="2"/>
      <x:c r="P314" s="9"/>
      <x:c r="Q314" s="2"/>
      <x:c r="R314" s="2"/>
      <x:c r="S314" s="10"/>
    </x:row>
    <x:row r="315" ht="72" customHeight="1">
      <x:c r="A315" s="2"/>
      <x:c r="B315" s="2"/>
      <x:c r="C315" s="3"/>
      <x:c r="D315" s="2"/>
      <x:c r="E315" s="4"/>
      <x:c r="F315" s="3"/>
      <x:c r="G315" s="5"/>
      <x:c r="H315" s="2"/>
      <x:c r="I315" s="2"/>
      <x:c r="J315" s="2"/>
      <x:c r="K315" s="3"/>
      <x:c r="L315" s="10"/>
      <x:c r="M315" s="2"/>
      <x:c r="N315" s="2"/>
      <x:c r="O315" s="2"/>
      <x:c r="P315" s="9"/>
      <x:c r="Q315" s="2"/>
      <x:c r="R315" s="2"/>
      <x:c r="S315" s="10"/>
    </x:row>
    <x:row r="316" ht="72" customHeight="1">
      <x:c r="A316" s="2"/>
      <x:c r="B316" s="2"/>
      <x:c r="C316" s="3"/>
      <x:c r="D316" s="2"/>
      <x:c r="E316" s="4"/>
      <x:c r="F316" s="3"/>
      <x:c r="G316" s="5"/>
      <x:c r="H316" s="2"/>
      <x:c r="I316" s="2"/>
      <x:c r="J316" s="2"/>
      <x:c r="K316" s="3"/>
      <x:c r="L316" s="10"/>
      <x:c r="M316" s="2"/>
      <x:c r="N316" s="2"/>
      <x:c r="O316" s="2"/>
      <x:c r="P316" s="9"/>
      <x:c r="Q316" s="2"/>
      <x:c r="R316" s="2"/>
      <x:c r="S316" s="10"/>
    </x:row>
    <x:row r="317" ht="72" customHeight="1">
      <x:c r="A317" s="2"/>
      <x:c r="B317" s="2"/>
      <x:c r="C317" s="3"/>
      <x:c r="D317" s="2"/>
      <x:c r="E317" s="4"/>
      <x:c r="F317" s="3"/>
      <x:c r="G317" s="5"/>
      <x:c r="H317" s="2"/>
      <x:c r="I317" s="2"/>
      <x:c r="J317" s="2"/>
      <x:c r="K317" s="3"/>
      <x:c r="L317" s="10"/>
      <x:c r="M317" s="2"/>
      <x:c r="N317" s="2"/>
      <x:c r="O317" s="2"/>
      <x:c r="P317" s="9"/>
      <x:c r="Q317" s="2"/>
      <x:c r="R317" s="2"/>
      <x:c r="S317" s="10"/>
    </x:row>
    <x:row r="318" ht="72" customHeight="1">
      <x:c r="A318" s="2"/>
      <x:c r="B318" s="2"/>
      <x:c r="C318" s="3"/>
      <x:c r="D318" s="2"/>
      <x:c r="E318" s="4"/>
      <x:c r="F318" s="3"/>
      <x:c r="G318" s="5"/>
      <x:c r="H318" s="2"/>
      <x:c r="I318" s="2"/>
      <x:c r="J318" s="2"/>
      <x:c r="K318" s="3"/>
      <x:c r="L318" s="10"/>
      <x:c r="M318" s="2"/>
      <x:c r="N318" s="2"/>
      <x:c r="O318" s="2"/>
      <x:c r="P318" s="9"/>
      <x:c r="Q318" s="2"/>
      <x:c r="R318" s="2"/>
      <x:c r="S318" s="10"/>
    </x:row>
    <x:row r="319" ht="72" customHeight="1">
      <x:c r="A319" s="2"/>
      <x:c r="B319" s="2"/>
      <x:c r="C319" s="3"/>
      <x:c r="D319" s="2"/>
      <x:c r="E319" s="4"/>
      <x:c r="F319" s="3"/>
      <x:c r="G319" s="5"/>
      <x:c r="H319" s="2"/>
      <x:c r="I319" s="2"/>
      <x:c r="J319" s="2"/>
      <x:c r="K319" s="3"/>
      <x:c r="L319" s="10"/>
      <x:c r="M319" s="2"/>
      <x:c r="N319" s="2"/>
      <x:c r="O319" s="2"/>
      <x:c r="P319" s="9"/>
      <x:c r="Q319" s="2"/>
      <x:c r="R319" s="2"/>
      <x:c r="S319" s="10"/>
    </x:row>
    <x:row r="320" ht="72" customHeight="1">
      <x:c r="A320" s="2"/>
      <x:c r="B320" s="2"/>
      <x:c r="C320" s="3"/>
      <x:c r="D320" s="2"/>
      <x:c r="E320" s="4"/>
      <x:c r="F320" s="3"/>
      <x:c r="G320" s="5"/>
      <x:c r="H320" s="2"/>
      <x:c r="I320" s="2"/>
      <x:c r="J320" s="2"/>
      <x:c r="K320" s="3"/>
      <x:c r="L320" s="10"/>
      <x:c r="M320" s="2"/>
      <x:c r="N320" s="2"/>
      <x:c r="O320" s="2"/>
      <x:c r="P320" s="9"/>
      <x:c r="Q320" s="2"/>
      <x:c r="R320" s="2"/>
      <x:c r="S320" s="10"/>
    </x:row>
    <x:row r="321" ht="72" customHeight="1">
      <x:c r="A321" s="2"/>
      <x:c r="B321" s="2"/>
      <x:c r="C321" s="3"/>
      <x:c r="D321" s="2"/>
      <x:c r="E321" s="4"/>
      <x:c r="F321" s="3"/>
      <x:c r="G321" s="5"/>
      <x:c r="H321" s="2"/>
      <x:c r="I321" s="2"/>
      <x:c r="J321" s="2"/>
      <x:c r="K321" s="3"/>
      <x:c r="L321" s="10"/>
      <x:c r="M321" s="2"/>
      <x:c r="N321" s="2"/>
      <x:c r="O321" s="2"/>
      <x:c r="P321" s="9"/>
      <x:c r="Q321" s="2"/>
      <x:c r="R321" s="2"/>
      <x:c r="S321" s="10"/>
    </x:row>
    <x:row r="322" ht="72" customHeight="1">
      <x:c r="A322" s="2"/>
      <x:c r="B322" s="2"/>
      <x:c r="C322" s="3"/>
      <x:c r="D322" s="2"/>
      <x:c r="E322" s="4"/>
      <x:c r="F322" s="3"/>
      <x:c r="G322" s="5"/>
      <x:c r="H322" s="2"/>
      <x:c r="I322" s="2"/>
      <x:c r="J322" s="2"/>
      <x:c r="K322" s="3"/>
      <x:c r="L322" s="10"/>
      <x:c r="M322" s="2"/>
      <x:c r="N322" s="2"/>
      <x:c r="O322" s="2"/>
      <x:c r="P322" s="9"/>
      <x:c r="Q322" s="2"/>
      <x:c r="R322" s="2"/>
      <x:c r="S322" s="10"/>
    </x:row>
    <x:row r="323" ht="72" customHeight="1">
      <x:c r="A323" s="2"/>
      <x:c r="B323" s="2"/>
      <x:c r="C323" s="3"/>
      <x:c r="D323" s="2"/>
      <x:c r="E323" s="4"/>
      <x:c r="F323" s="3"/>
      <x:c r="G323" s="5"/>
      <x:c r="H323" s="2"/>
      <x:c r="I323" s="2"/>
      <x:c r="J323" s="2"/>
      <x:c r="K323" s="3"/>
      <x:c r="L323" s="10"/>
      <x:c r="M323" s="2"/>
      <x:c r="N323" s="2"/>
      <x:c r="O323" s="2"/>
      <x:c r="P323" s="9"/>
      <x:c r="Q323" s="2"/>
      <x:c r="R323" s="2"/>
      <x:c r="S323" s="10"/>
    </x:row>
    <x:row r="324" ht="72" customHeight="1">
      <x:c r="A324" s="2"/>
      <x:c r="B324" s="2"/>
      <x:c r="C324" s="3"/>
      <x:c r="D324" s="2"/>
      <x:c r="E324" s="4"/>
      <x:c r="F324" s="3"/>
      <x:c r="G324" s="5"/>
      <x:c r="H324" s="2"/>
      <x:c r="I324" s="2"/>
      <x:c r="J324" s="2"/>
      <x:c r="K324" s="3"/>
      <x:c r="L324" s="10"/>
      <x:c r="M324" s="2"/>
      <x:c r="N324" s="2"/>
      <x:c r="O324" s="2"/>
      <x:c r="P324" s="9"/>
      <x:c r="Q324" s="2"/>
      <x:c r="R324" s="2"/>
      <x:c r="S324" s="10"/>
    </x:row>
    <x:row r="325" ht="72" customHeight="1">
      <x:c r="A325" s="2"/>
      <x:c r="B325" s="2"/>
      <x:c r="C325" s="3"/>
      <x:c r="D325" s="2"/>
      <x:c r="E325" s="4"/>
      <x:c r="F325" s="3"/>
      <x:c r="G325" s="5"/>
      <x:c r="H325" s="2"/>
      <x:c r="I325" s="2"/>
      <x:c r="J325" s="2"/>
      <x:c r="K325" s="3"/>
      <x:c r="L325" s="10"/>
      <x:c r="M325" s="2"/>
      <x:c r="N325" s="2"/>
      <x:c r="O325" s="2"/>
      <x:c r="P325" s="9"/>
      <x:c r="Q325" s="2"/>
      <x:c r="R325" s="2"/>
      <x:c r="S325" s="10"/>
    </x:row>
    <x:row r="326" ht="72" customHeight="1">
      <x:c r="A326" s="2"/>
      <x:c r="B326" s="2"/>
      <x:c r="C326" s="3"/>
      <x:c r="D326" s="2"/>
      <x:c r="E326" s="4"/>
      <x:c r="F326" s="3"/>
      <x:c r="G326" s="5"/>
      <x:c r="H326" s="2"/>
      <x:c r="I326" s="2"/>
      <x:c r="J326" s="2"/>
      <x:c r="K326" s="3"/>
      <x:c r="L326" s="10"/>
      <x:c r="M326" s="2"/>
      <x:c r="N326" s="2"/>
      <x:c r="O326" s="2"/>
      <x:c r="P326" s="9"/>
      <x:c r="Q326" s="2"/>
      <x:c r="R326" s="2"/>
      <x:c r="S326" s="10"/>
    </x:row>
    <x:row r="327" ht="72" customHeight="1">
      <x:c r="A327" s="2"/>
      <x:c r="B327" s="2"/>
      <x:c r="C327" s="3"/>
      <x:c r="D327" s="2"/>
      <x:c r="E327" s="4"/>
      <x:c r="F327" s="3"/>
      <x:c r="G327" s="5"/>
      <x:c r="H327" s="2"/>
      <x:c r="I327" s="2"/>
      <x:c r="J327" s="2"/>
      <x:c r="K327" s="3"/>
      <x:c r="L327" s="10"/>
      <x:c r="M327" s="2"/>
      <x:c r="N327" s="2"/>
      <x:c r="O327" s="2"/>
      <x:c r="P327" s="9"/>
      <x:c r="Q327" s="2"/>
      <x:c r="R327" s="2"/>
      <x:c r="S327" s="10"/>
    </x:row>
    <x:row r="328" ht="72" customHeight="1">
      <x:c r="A328" s="2"/>
      <x:c r="B328" s="2"/>
      <x:c r="C328" s="3"/>
      <x:c r="D328" s="2"/>
      <x:c r="E328" s="4"/>
      <x:c r="F328" s="3"/>
      <x:c r="G328" s="5"/>
      <x:c r="H328" s="2"/>
      <x:c r="I328" s="2"/>
      <x:c r="J328" s="2"/>
      <x:c r="K328" s="3"/>
      <x:c r="L328" s="10"/>
      <x:c r="M328" s="2"/>
      <x:c r="N328" s="2"/>
      <x:c r="O328" s="2"/>
      <x:c r="P328" s="9"/>
      <x:c r="Q328" s="2"/>
      <x:c r="R328" s="2"/>
      <x:c r="S328" s="10"/>
    </x:row>
    <x:row r="329" ht="72" customHeight="1">
      <x:c r="A329" s="2"/>
      <x:c r="B329" s="2"/>
      <x:c r="C329" s="3"/>
      <x:c r="D329" s="2"/>
      <x:c r="E329" s="4"/>
      <x:c r="F329" s="3"/>
      <x:c r="G329" s="5"/>
      <x:c r="H329" s="2"/>
      <x:c r="I329" s="2"/>
      <x:c r="J329" s="2"/>
      <x:c r="K329" s="3"/>
      <x:c r="L329" s="10"/>
      <x:c r="M329" s="2"/>
      <x:c r="N329" s="2"/>
      <x:c r="O329" s="2"/>
      <x:c r="P329" s="9"/>
      <x:c r="Q329" s="2"/>
      <x:c r="R329" s="2"/>
      <x:c r="S329" s="10"/>
    </x:row>
    <x:row r="330" ht="72" customHeight="1">
      <x:c r="A330" s="2"/>
      <x:c r="B330" s="2"/>
      <x:c r="C330" s="3"/>
      <x:c r="D330" s="2"/>
      <x:c r="E330" s="4"/>
      <x:c r="F330" s="3"/>
      <x:c r="G330" s="5"/>
      <x:c r="H330" s="2"/>
      <x:c r="I330" s="2"/>
      <x:c r="J330" s="2"/>
      <x:c r="K330" s="3"/>
      <x:c r="L330" s="10"/>
      <x:c r="M330" s="2"/>
      <x:c r="N330" s="2"/>
      <x:c r="O330" s="2"/>
      <x:c r="P330" s="9"/>
      <x:c r="Q330" s="2"/>
      <x:c r="R330" s="2"/>
      <x:c r="S330" s="10"/>
    </x:row>
    <x:row r="331" ht="72" customHeight="1">
      <x:c r="A331" s="2"/>
      <x:c r="B331" s="2"/>
      <x:c r="C331" s="3"/>
      <x:c r="D331" s="2"/>
      <x:c r="E331" s="4"/>
      <x:c r="F331" s="3"/>
      <x:c r="G331" s="5"/>
      <x:c r="H331" s="2"/>
      <x:c r="I331" s="2"/>
      <x:c r="J331" s="2"/>
      <x:c r="K331" s="3"/>
      <x:c r="L331" s="10"/>
      <x:c r="M331" s="2"/>
      <x:c r="N331" s="2"/>
      <x:c r="O331" s="2"/>
      <x:c r="P331" s="9"/>
      <x:c r="Q331" s="2"/>
      <x:c r="R331" s="2"/>
      <x:c r="S331" s="10"/>
    </x:row>
    <x:row r="332" ht="72" customHeight="1">
      <x:c r="A332" s="2"/>
      <x:c r="B332" s="2"/>
      <x:c r="C332" s="3"/>
      <x:c r="D332" s="2"/>
      <x:c r="E332" s="4"/>
      <x:c r="F332" s="3"/>
      <x:c r="G332" s="5"/>
      <x:c r="H332" s="2"/>
      <x:c r="I332" s="2"/>
      <x:c r="J332" s="2"/>
      <x:c r="K332" s="3"/>
      <x:c r="L332" s="10"/>
      <x:c r="M332" s="2"/>
      <x:c r="N332" s="2"/>
      <x:c r="O332" s="2"/>
      <x:c r="P332" s="9"/>
      <x:c r="Q332" s="2"/>
      <x:c r="R332" s="2"/>
      <x:c r="S332" s="10"/>
    </x:row>
    <x:row r="333" ht="72" customHeight="1">
      <x:c r="A333" s="2"/>
      <x:c r="B333" s="2"/>
      <x:c r="C333" s="3"/>
      <x:c r="D333" s="2"/>
      <x:c r="E333" s="4"/>
      <x:c r="F333" s="3"/>
      <x:c r="G333" s="5"/>
      <x:c r="H333" s="2"/>
      <x:c r="I333" s="2"/>
      <x:c r="J333" s="2"/>
      <x:c r="K333" s="3"/>
      <x:c r="L333" s="10"/>
      <x:c r="M333" s="2"/>
      <x:c r="N333" s="2"/>
      <x:c r="O333" s="2"/>
      <x:c r="P333" s="9"/>
      <x:c r="Q333" s="2"/>
      <x:c r="R333" s="2"/>
      <x:c r="S333" s="10"/>
    </x:row>
    <x:row r="334" ht="72" customHeight="1">
      <x:c r="A334" s="2"/>
      <x:c r="B334" s="2"/>
      <x:c r="C334" s="3"/>
      <x:c r="D334" s="2"/>
      <x:c r="E334" s="4"/>
      <x:c r="F334" s="3"/>
      <x:c r="G334" s="5"/>
      <x:c r="H334" s="2"/>
      <x:c r="I334" s="2"/>
      <x:c r="J334" s="2"/>
      <x:c r="K334" s="3"/>
      <x:c r="L334" s="10"/>
      <x:c r="M334" s="2"/>
      <x:c r="N334" s="2"/>
      <x:c r="O334" s="2"/>
      <x:c r="P334" s="9"/>
      <x:c r="Q334" s="2"/>
      <x:c r="R334" s="2"/>
      <x:c r="S334" s="10"/>
    </x:row>
    <x:row r="335" ht="72" customHeight="1">
      <x:c r="A335" s="2"/>
      <x:c r="B335" s="2"/>
      <x:c r="C335" s="3"/>
      <x:c r="D335" s="2"/>
      <x:c r="E335" s="4"/>
      <x:c r="F335" s="3"/>
      <x:c r="G335" s="5"/>
      <x:c r="H335" s="2"/>
      <x:c r="I335" s="2"/>
      <x:c r="J335" s="2"/>
      <x:c r="K335" s="3"/>
      <x:c r="L335" s="10"/>
      <x:c r="M335" s="2"/>
      <x:c r="N335" s="2"/>
      <x:c r="O335" s="2"/>
      <x:c r="P335" s="9"/>
      <x:c r="Q335" s="2"/>
      <x:c r="R335" s="2"/>
      <x:c r="S335" s="10"/>
    </x:row>
    <x:row r="336" ht="72" customHeight="1">
      <x:c r="A336" s="2"/>
      <x:c r="B336" s="2"/>
      <x:c r="C336" s="3"/>
      <x:c r="D336" s="2"/>
      <x:c r="E336" s="4"/>
      <x:c r="F336" s="3"/>
      <x:c r="G336" s="5"/>
      <x:c r="H336" s="2"/>
      <x:c r="I336" s="2"/>
      <x:c r="J336" s="2"/>
      <x:c r="K336" s="3"/>
      <x:c r="L336" s="10"/>
      <x:c r="M336" s="2"/>
      <x:c r="N336" s="2"/>
      <x:c r="O336" s="2"/>
      <x:c r="P336" s="9"/>
      <x:c r="Q336" s="2"/>
      <x:c r="R336" s="2"/>
      <x:c r="S336" s="10"/>
    </x:row>
    <x:row r="337" ht="72" customHeight="1">
      <x:c r="A337" s="2"/>
      <x:c r="B337" s="2"/>
      <x:c r="C337" s="3"/>
      <x:c r="D337" s="2"/>
      <x:c r="E337" s="4"/>
      <x:c r="F337" s="3"/>
      <x:c r="G337" s="5"/>
      <x:c r="H337" s="2"/>
      <x:c r="I337" s="2"/>
      <x:c r="J337" s="2"/>
      <x:c r="K337" s="3"/>
      <x:c r="L337" s="10"/>
      <x:c r="M337" s="2"/>
      <x:c r="N337" s="2"/>
      <x:c r="O337" s="2"/>
      <x:c r="P337" s="9"/>
      <x:c r="Q337" s="2"/>
      <x:c r="R337" s="2"/>
      <x:c r="S337" s="10"/>
    </x:row>
    <x:row r="338" ht="72" customHeight="1">
      <x:c r="A338" s="2"/>
      <x:c r="B338" s="2"/>
      <x:c r="C338" s="3"/>
      <x:c r="D338" s="2"/>
      <x:c r="E338" s="4"/>
      <x:c r="F338" s="3"/>
      <x:c r="G338" s="5"/>
      <x:c r="H338" s="2"/>
      <x:c r="I338" s="2"/>
      <x:c r="J338" s="2"/>
      <x:c r="K338" s="3"/>
      <x:c r="L338" s="10"/>
      <x:c r="M338" s="2"/>
      <x:c r="N338" s="2"/>
      <x:c r="O338" s="2"/>
      <x:c r="P338" s="9"/>
      <x:c r="Q338" s="2"/>
      <x:c r="R338" s="2"/>
      <x:c r="S338" s="10"/>
    </x:row>
    <x:row r="339" ht="72" customHeight="1">
      <x:c r="A339" s="2"/>
      <x:c r="B339" s="2"/>
      <x:c r="C339" s="3"/>
      <x:c r="D339" s="2"/>
      <x:c r="E339" s="4"/>
      <x:c r="F339" s="3"/>
      <x:c r="G339" s="5"/>
      <x:c r="H339" s="2"/>
      <x:c r="I339" s="2"/>
      <x:c r="J339" s="2"/>
      <x:c r="K339" s="3"/>
      <x:c r="L339" s="10"/>
      <x:c r="M339" s="2"/>
      <x:c r="N339" s="2"/>
      <x:c r="O339" s="2"/>
      <x:c r="P339" s="9"/>
      <x:c r="Q339" s="2"/>
      <x:c r="R339" s="2"/>
      <x:c r="S339" s="10"/>
    </x:row>
    <x:row r="340" ht="72" customHeight="1">
      <x:c r="A340" s="2"/>
      <x:c r="B340" s="2"/>
      <x:c r="C340" s="3"/>
      <x:c r="D340" s="2"/>
      <x:c r="E340" s="4"/>
      <x:c r="F340" s="3"/>
      <x:c r="G340" s="5"/>
      <x:c r="H340" s="2"/>
      <x:c r="I340" s="2"/>
      <x:c r="J340" s="2"/>
      <x:c r="K340" s="3"/>
      <x:c r="L340" s="10"/>
      <x:c r="M340" s="2"/>
      <x:c r="N340" s="2"/>
      <x:c r="O340" s="2"/>
      <x:c r="P340" s="9"/>
      <x:c r="Q340" s="2"/>
      <x:c r="R340" s="2"/>
      <x:c r="S340" s="10"/>
    </x:row>
    <x:row r="341" ht="72" customHeight="1">
      <x:c r="A341" s="2"/>
      <x:c r="B341" s="2"/>
      <x:c r="C341" s="3"/>
      <x:c r="D341" s="2"/>
      <x:c r="E341" s="4"/>
      <x:c r="F341" s="3"/>
      <x:c r="G341" s="5"/>
      <x:c r="H341" s="2"/>
      <x:c r="I341" s="2"/>
      <x:c r="J341" s="2"/>
      <x:c r="K341" s="3"/>
      <x:c r="L341" s="10"/>
      <x:c r="M341" s="2"/>
      <x:c r="N341" s="2"/>
      <x:c r="O341" s="2"/>
      <x:c r="P341" s="9"/>
      <x:c r="Q341" s="2"/>
      <x:c r="R341" s="2"/>
      <x:c r="S341" s="10"/>
    </x:row>
    <x:row r="342" ht="72" customHeight="1">
      <x:c r="A342" s="2"/>
      <x:c r="B342" s="2"/>
      <x:c r="C342" s="3"/>
      <x:c r="D342" s="2"/>
      <x:c r="E342" s="4"/>
      <x:c r="F342" s="3"/>
      <x:c r="G342" s="5"/>
      <x:c r="H342" s="2"/>
      <x:c r="I342" s="2"/>
      <x:c r="J342" s="2"/>
      <x:c r="K342" s="3"/>
      <x:c r="L342" s="10"/>
      <x:c r="M342" s="2"/>
      <x:c r="N342" s="2"/>
      <x:c r="O342" s="2"/>
      <x:c r="P342" s="9"/>
      <x:c r="Q342" s="2"/>
      <x:c r="R342" s="2"/>
      <x:c r="S342" s="10"/>
    </x:row>
    <x:row r="343" ht="72" customHeight="1">
      <x:c r="A343" s="2"/>
      <x:c r="B343" s="2"/>
      <x:c r="C343" s="3"/>
      <x:c r="D343" s="2"/>
      <x:c r="E343" s="4"/>
      <x:c r="F343" s="3"/>
      <x:c r="G343" s="5"/>
      <x:c r="H343" s="2"/>
      <x:c r="I343" s="2"/>
      <x:c r="J343" s="2"/>
      <x:c r="K343" s="3"/>
      <x:c r="L343" s="10"/>
      <x:c r="M343" s="2"/>
      <x:c r="N343" s="2"/>
      <x:c r="O343" s="2"/>
      <x:c r="P343" s="9"/>
      <x:c r="Q343" s="2"/>
      <x:c r="R343" s="2"/>
      <x:c r="S343" s="10"/>
    </x:row>
    <x:row r="344" ht="72" customHeight="1">
      <x:c r="A344" s="2"/>
      <x:c r="B344" s="2"/>
      <x:c r="C344" s="3"/>
      <x:c r="D344" s="2"/>
      <x:c r="E344" s="4"/>
      <x:c r="F344" s="3"/>
      <x:c r="G344" s="5"/>
      <x:c r="H344" s="2"/>
      <x:c r="I344" s="2"/>
      <x:c r="J344" s="2"/>
      <x:c r="K344" s="3"/>
      <x:c r="L344" s="10"/>
      <x:c r="M344" s="2"/>
      <x:c r="N344" s="2"/>
      <x:c r="O344" s="2"/>
      <x:c r="P344" s="9"/>
      <x:c r="Q344" s="2"/>
      <x:c r="R344" s="2"/>
      <x:c r="S344" s="10"/>
    </x:row>
    <x:row r="345" ht="72" customHeight="1">
      <x:c r="A345" s="2"/>
      <x:c r="B345" s="2"/>
      <x:c r="C345" s="3"/>
      <x:c r="D345" s="2"/>
      <x:c r="E345" s="4"/>
      <x:c r="F345" s="3"/>
      <x:c r="G345" s="5"/>
      <x:c r="H345" s="2"/>
      <x:c r="I345" s="2"/>
      <x:c r="J345" s="2"/>
      <x:c r="K345" s="3"/>
      <x:c r="L345" s="10"/>
      <x:c r="M345" s="2"/>
      <x:c r="N345" s="2"/>
      <x:c r="O345" s="2"/>
      <x:c r="P345" s="9"/>
      <x:c r="Q345" s="2"/>
      <x:c r="R345" s="2"/>
      <x:c r="S345" s="10"/>
    </x:row>
    <x:row r="346" ht="72" customHeight="1">
      <x:c r="A346" s="2"/>
      <x:c r="B346" s="2"/>
      <x:c r="C346" s="3"/>
      <x:c r="D346" s="2"/>
      <x:c r="E346" s="4"/>
      <x:c r="F346" s="3"/>
      <x:c r="G346" s="5"/>
      <x:c r="H346" s="2"/>
      <x:c r="I346" s="2"/>
      <x:c r="J346" s="2"/>
      <x:c r="K346" s="3"/>
      <x:c r="L346" s="10"/>
      <x:c r="M346" s="2"/>
      <x:c r="N346" s="2"/>
      <x:c r="O346" s="2"/>
      <x:c r="P346" s="9"/>
      <x:c r="Q346" s="2"/>
      <x:c r="R346" s="2"/>
      <x:c r="S346" s="10"/>
    </x:row>
    <x:row r="347" ht="72" customHeight="1">
      <x:c r="A347" s="2"/>
      <x:c r="B347" s="2"/>
      <x:c r="C347" s="3"/>
      <x:c r="D347" s="2"/>
      <x:c r="E347" s="4"/>
      <x:c r="F347" s="3"/>
      <x:c r="G347" s="5"/>
      <x:c r="H347" s="2"/>
      <x:c r="I347" s="2"/>
      <x:c r="J347" s="2"/>
      <x:c r="K347" s="3"/>
      <x:c r="L347" s="10"/>
      <x:c r="M347" s="2"/>
      <x:c r="N347" s="2"/>
      <x:c r="O347" s="2"/>
      <x:c r="P347" s="9"/>
      <x:c r="Q347" s="2"/>
      <x:c r="R347" s="2"/>
      <x:c r="S347" s="10"/>
    </x:row>
    <x:row r="348" ht="72" customHeight="1">
      <x:c r="A348" s="2"/>
      <x:c r="B348" s="2"/>
      <x:c r="C348" s="3"/>
      <x:c r="D348" s="2"/>
      <x:c r="E348" s="4"/>
      <x:c r="F348" s="3"/>
      <x:c r="G348" s="5"/>
      <x:c r="H348" s="2"/>
      <x:c r="I348" s="2"/>
      <x:c r="J348" s="2"/>
      <x:c r="K348" s="3"/>
      <x:c r="L348" s="10"/>
      <x:c r="M348" s="2"/>
      <x:c r="N348" s="2"/>
      <x:c r="O348" s="2"/>
      <x:c r="P348" s="9"/>
      <x:c r="Q348" s="2"/>
      <x:c r="R348" s="2"/>
      <x:c r="S348" s="10"/>
    </x:row>
    <x:row r="349" ht="72" customHeight="1">
      <x:c r="A349" s="2"/>
      <x:c r="B349" s="2"/>
      <x:c r="C349" s="3"/>
      <x:c r="D349" s="2"/>
      <x:c r="E349" s="4"/>
      <x:c r="F349" s="3"/>
      <x:c r="G349" s="5"/>
      <x:c r="H349" s="2"/>
      <x:c r="I349" s="2"/>
      <x:c r="J349" s="2"/>
      <x:c r="K349" s="3"/>
      <x:c r="L349" s="10"/>
      <x:c r="M349" s="2"/>
      <x:c r="N349" s="2"/>
      <x:c r="O349" s="2"/>
      <x:c r="P349" s="9"/>
      <x:c r="Q349" s="2"/>
      <x:c r="R349" s="2"/>
      <x:c r="S349" s="10"/>
    </x:row>
    <x:row r="350" ht="72" customHeight="1">
      <x:c r="A350" s="2"/>
      <x:c r="B350" s="2"/>
      <x:c r="C350" s="3"/>
      <x:c r="D350" s="2"/>
      <x:c r="E350" s="4"/>
      <x:c r="F350" s="3"/>
      <x:c r="G350" s="5"/>
      <x:c r="H350" s="2"/>
      <x:c r="I350" s="2"/>
      <x:c r="J350" s="2"/>
      <x:c r="K350" s="3"/>
      <x:c r="L350" s="10"/>
      <x:c r="M350" s="2"/>
      <x:c r="N350" s="2"/>
      <x:c r="O350" s="2"/>
      <x:c r="P350" s="9"/>
      <x:c r="Q350" s="2"/>
      <x:c r="R350" s="2"/>
      <x:c r="S350" s="10"/>
    </x:row>
    <x:row r="351" ht="72" customHeight="1">
      <x:c r="A351" s="2"/>
      <x:c r="B351" s="2"/>
      <x:c r="C351" s="3"/>
      <x:c r="D351" s="2"/>
      <x:c r="E351" s="4"/>
      <x:c r="F351" s="3"/>
      <x:c r="G351" s="5"/>
      <x:c r="H351" s="2"/>
      <x:c r="I351" s="2"/>
      <x:c r="J351" s="2"/>
      <x:c r="K351" s="3"/>
      <x:c r="L351" s="10"/>
      <x:c r="M351" s="2"/>
      <x:c r="N351" s="2"/>
      <x:c r="O351" s="2"/>
      <x:c r="P351" s="9"/>
      <x:c r="Q351" s="2"/>
      <x:c r="R351" s="2"/>
      <x:c r="S351" s="10"/>
    </x:row>
    <x:row r="352" ht="72" customHeight="1">
      <x:c r="A352" s="2"/>
      <x:c r="B352" s="2"/>
      <x:c r="C352" s="3"/>
      <x:c r="D352" s="2"/>
      <x:c r="E352" s="4"/>
      <x:c r="F352" s="3"/>
      <x:c r="G352" s="5"/>
      <x:c r="H352" s="2"/>
      <x:c r="I352" s="2"/>
      <x:c r="J352" s="2"/>
      <x:c r="K352" s="3"/>
      <x:c r="L352" s="10"/>
      <x:c r="M352" s="2"/>
      <x:c r="N352" s="2"/>
      <x:c r="O352" s="2"/>
      <x:c r="P352" s="9"/>
      <x:c r="Q352" s="2"/>
      <x:c r="R352" s="2"/>
      <x:c r="S352" s="10"/>
    </x:row>
    <x:row r="353" ht="72" customHeight="1">
      <x:c r="A353" s="2"/>
      <x:c r="B353" s="2"/>
      <x:c r="C353" s="3"/>
      <x:c r="D353" s="2"/>
      <x:c r="E353" s="4"/>
      <x:c r="F353" s="3"/>
      <x:c r="G353" s="5"/>
      <x:c r="H353" s="2"/>
      <x:c r="I353" s="2"/>
      <x:c r="J353" s="2"/>
      <x:c r="K353" s="3"/>
      <x:c r="L353" s="10"/>
      <x:c r="M353" s="2"/>
      <x:c r="N353" s="2"/>
      <x:c r="O353" s="2"/>
      <x:c r="P353" s="9"/>
      <x:c r="Q353" s="2"/>
      <x:c r="R353" s="2"/>
      <x:c r="S353" s="10"/>
    </x:row>
    <x:row r="354" ht="72" customHeight="1">
      <x:c r="A354" s="2"/>
      <x:c r="B354" s="2"/>
      <x:c r="C354" s="3"/>
      <x:c r="D354" s="2"/>
      <x:c r="E354" s="4"/>
      <x:c r="F354" s="3"/>
      <x:c r="G354" s="5"/>
      <x:c r="H354" s="2"/>
      <x:c r="I354" s="2"/>
      <x:c r="J354" s="2"/>
      <x:c r="K354" s="3"/>
      <x:c r="L354" s="10"/>
      <x:c r="M354" s="2"/>
      <x:c r="N354" s="2"/>
      <x:c r="O354" s="2"/>
      <x:c r="P354" s="9"/>
      <x:c r="Q354" s="2"/>
      <x:c r="R354" s="2"/>
      <x:c r="S354" s="10"/>
    </x:row>
    <x:row r="355" ht="72" customHeight="1">
      <x:c r="A355" s="2"/>
      <x:c r="B355" s="2"/>
      <x:c r="C355" s="3"/>
      <x:c r="D355" s="2"/>
      <x:c r="E355" s="4"/>
      <x:c r="F355" s="3"/>
      <x:c r="G355" s="5"/>
      <x:c r="H355" s="2"/>
      <x:c r="I355" s="2"/>
      <x:c r="J355" s="2"/>
      <x:c r="K355" s="3"/>
      <x:c r="L355" s="10"/>
      <x:c r="M355" s="2"/>
      <x:c r="N355" s="2"/>
      <x:c r="O355" s="2"/>
      <x:c r="P355" s="9"/>
      <x:c r="Q355" s="2"/>
      <x:c r="R355" s="2"/>
      <x:c r="S355" s="10"/>
    </x:row>
    <x:row r="356" ht="72" customHeight="1">
      <x:c r="A356" s="2"/>
      <x:c r="B356" s="2"/>
      <x:c r="C356" s="3"/>
      <x:c r="D356" s="2"/>
      <x:c r="E356" s="4"/>
      <x:c r="F356" s="3"/>
      <x:c r="G356" s="5"/>
      <x:c r="H356" s="2"/>
      <x:c r="I356" s="2"/>
      <x:c r="J356" s="2"/>
      <x:c r="K356" s="3"/>
      <x:c r="L356" s="10"/>
      <x:c r="M356" s="2"/>
      <x:c r="N356" s="2"/>
      <x:c r="O356" s="2"/>
      <x:c r="P356" s="9"/>
      <x:c r="Q356" s="2"/>
      <x:c r="R356" s="2"/>
      <x:c r="S356" s="10"/>
    </x:row>
    <x:row r="357" ht="72" customHeight="1">
      <x:c r="A357" s="2"/>
      <x:c r="B357" s="2"/>
      <x:c r="C357" s="3"/>
      <x:c r="D357" s="2"/>
      <x:c r="E357" s="4"/>
      <x:c r="F357" s="3"/>
      <x:c r="G357" s="5"/>
      <x:c r="H357" s="2"/>
      <x:c r="I357" s="2"/>
      <x:c r="J357" s="2"/>
      <x:c r="K357" s="3"/>
      <x:c r="L357" s="10"/>
      <x:c r="M357" s="2"/>
      <x:c r="N357" s="2"/>
      <x:c r="O357" s="2"/>
      <x:c r="P357" s="9"/>
      <x:c r="Q357" s="2"/>
      <x:c r="R357" s="2"/>
      <x:c r="S357" s="10"/>
    </x:row>
    <x:row r="358" ht="72" customHeight="1">
      <x:c r="A358" s="2"/>
      <x:c r="B358" s="2"/>
      <x:c r="C358" s="3"/>
      <x:c r="D358" s="2"/>
      <x:c r="E358" s="4"/>
      <x:c r="F358" s="3"/>
      <x:c r="G358" s="5"/>
      <x:c r="H358" s="2"/>
      <x:c r="I358" s="2"/>
      <x:c r="J358" s="2"/>
      <x:c r="K358" s="3"/>
      <x:c r="L358" s="10"/>
      <x:c r="M358" s="2"/>
      <x:c r="N358" s="2"/>
      <x:c r="O358" s="2"/>
      <x:c r="P358" s="9"/>
      <x:c r="Q358" s="2"/>
      <x:c r="R358" s="2"/>
      <x:c r="S358" s="10"/>
    </x:row>
    <x:row r="359" ht="72" customHeight="1">
      <x:c r="A359" s="2"/>
      <x:c r="B359" s="2"/>
      <x:c r="C359" s="3"/>
      <x:c r="D359" s="2"/>
      <x:c r="E359" s="4"/>
      <x:c r="F359" s="3"/>
      <x:c r="G359" s="5"/>
      <x:c r="H359" s="2"/>
      <x:c r="I359" s="2"/>
      <x:c r="J359" s="2"/>
      <x:c r="K359" s="3"/>
      <x:c r="L359" s="10"/>
      <x:c r="M359" s="2"/>
      <x:c r="N359" s="2"/>
      <x:c r="O359" s="2"/>
      <x:c r="P359" s="9"/>
      <x:c r="Q359" s="2"/>
      <x:c r="R359" s="2"/>
      <x:c r="S359" s="10"/>
    </x:row>
    <x:row r="360" ht="72" customHeight="1">
      <x:c r="A360" s="2"/>
      <x:c r="B360" s="2"/>
      <x:c r="C360" s="3"/>
      <x:c r="D360" s="2"/>
      <x:c r="E360" s="4"/>
      <x:c r="F360" s="3"/>
      <x:c r="G360" s="5"/>
      <x:c r="H360" s="2"/>
      <x:c r="I360" s="2"/>
      <x:c r="J360" s="2"/>
      <x:c r="K360" s="3"/>
      <x:c r="L360" s="10"/>
      <x:c r="M360" s="2"/>
      <x:c r="N360" s="2"/>
      <x:c r="O360" s="2"/>
      <x:c r="P360" s="9"/>
      <x:c r="Q360" s="2"/>
      <x:c r="R360" s="2"/>
      <x:c r="S360" s="10"/>
    </x:row>
    <x:row r="361" ht="72" customHeight="1">
      <x:c r="A361" s="2"/>
      <x:c r="B361" s="2"/>
      <x:c r="C361" s="3"/>
      <x:c r="D361" s="2"/>
      <x:c r="E361" s="4"/>
      <x:c r="F361" s="3"/>
      <x:c r="G361" s="5"/>
      <x:c r="H361" s="2"/>
      <x:c r="I361" s="2"/>
      <x:c r="J361" s="2"/>
      <x:c r="K361" s="3"/>
      <x:c r="L361" s="10"/>
      <x:c r="M361" s="2"/>
      <x:c r="N361" s="2"/>
      <x:c r="O361" s="2"/>
      <x:c r="P361" s="9"/>
      <x:c r="Q361" s="2"/>
      <x:c r="R361" s="2"/>
      <x:c r="S361" s="10"/>
    </x:row>
    <x:row r="362" ht="72" customHeight="1">
      <x:c r="A362" s="2"/>
      <x:c r="B362" s="2"/>
      <x:c r="C362" s="3"/>
      <x:c r="D362" s="2"/>
      <x:c r="E362" s="4"/>
      <x:c r="F362" s="3"/>
      <x:c r="G362" s="5"/>
      <x:c r="H362" s="2"/>
      <x:c r="I362" s="2"/>
      <x:c r="J362" s="2"/>
      <x:c r="K362" s="3"/>
      <x:c r="L362" s="10"/>
      <x:c r="M362" s="2"/>
      <x:c r="N362" s="2"/>
      <x:c r="O362" s="2"/>
      <x:c r="P362" s="9"/>
      <x:c r="Q362" s="2"/>
      <x:c r="R362" s="2"/>
      <x:c r="S362" s="10"/>
    </x:row>
    <x:row r="363" ht="72" customHeight="1">
      <x:c r="A363" s="2"/>
      <x:c r="B363" s="2"/>
      <x:c r="C363" s="3"/>
      <x:c r="D363" s="2"/>
      <x:c r="E363" s="4"/>
      <x:c r="F363" s="7"/>
      <x:c r="G363" s="5"/>
      <x:c r="H363" s="2"/>
      <x:c r="I363" s="2"/>
      <x:c r="J363" s="2"/>
      <x:c r="K363" s="3"/>
      <x:c r="L363" s="10"/>
      <x:c r="M363" s="2"/>
      <x:c r="N363" s="2"/>
      <x:c r="O363" s="2"/>
      <x:c r="P363" s="9"/>
      <x:c r="Q363" s="2"/>
      <x:c r="R363" s="2"/>
      <x:c r="S363" s="10"/>
    </x:row>
    <x:row r="364" ht="72" customHeight="1">
      <x:c r="A364" s="2"/>
      <x:c r="B364" s="2"/>
      <x:c r="C364" s="3"/>
      <x:c r="D364" s="2"/>
      <x:c r="E364" s="4"/>
      <x:c r="F364" s="3"/>
      <x:c r="G364" s="5"/>
      <x:c r="H364" s="2"/>
      <x:c r="I364" s="2"/>
      <x:c r="J364" s="2"/>
      <x:c r="K364" s="3"/>
      <x:c r="L364" s="10"/>
      <x:c r="M364" s="2"/>
      <x:c r="N364" s="2"/>
      <x:c r="O364" s="2"/>
      <x:c r="P364" s="9"/>
      <x:c r="Q364" s="2"/>
      <x:c r="R364" s="2"/>
      <x:c r="S364" s="10"/>
    </x:row>
    <x:row r="365" ht="72" customHeight="1">
      <x:c r="A365" s="2"/>
      <x:c r="B365" s="2"/>
      <x:c r="C365" s="3"/>
      <x:c r="D365" s="2"/>
      <x:c r="E365" s="4"/>
      <x:c r="F365" s="3"/>
      <x:c r="G365" s="5"/>
      <x:c r="H365" s="2"/>
      <x:c r="I365" s="2"/>
      <x:c r="J365" s="2"/>
      <x:c r="K365" s="3"/>
      <x:c r="L365" s="10"/>
      <x:c r="M365" s="2"/>
      <x:c r="N365" s="2"/>
      <x:c r="O365" s="2"/>
      <x:c r="P365" s="9"/>
      <x:c r="Q365" s="2"/>
      <x:c r="R365" s="2"/>
      <x:c r="S365" s="10"/>
    </x:row>
    <x:row r="366" ht="72" customHeight="1">
      <x:c r="A366" s="2"/>
      <x:c r="B366" s="2"/>
      <x:c r="C366" s="3"/>
      <x:c r="D366" s="2"/>
      <x:c r="E366" s="4"/>
      <x:c r="F366" s="3"/>
      <x:c r="G366" s="5"/>
      <x:c r="H366" s="2"/>
      <x:c r="I366" s="2"/>
      <x:c r="J366" s="2"/>
      <x:c r="K366" s="3"/>
      <x:c r="L366" s="10"/>
      <x:c r="M366" s="2"/>
      <x:c r="N366" s="2"/>
      <x:c r="O366" s="2"/>
      <x:c r="P366" s="9"/>
      <x:c r="Q366" s="2"/>
      <x:c r="R366" s="2"/>
      <x:c r="S366" s="10"/>
    </x:row>
    <x:row r="367" ht="72" customHeight="1">
      <x:c r="A367" s="2"/>
      <x:c r="B367" s="2"/>
      <x:c r="C367" s="3"/>
      <x:c r="D367" s="2"/>
      <x:c r="E367" s="4"/>
      <x:c r="F367" s="3"/>
      <x:c r="G367" s="5"/>
      <x:c r="H367" s="2"/>
      <x:c r="I367" s="2"/>
      <x:c r="J367" s="2"/>
      <x:c r="K367" s="3"/>
      <x:c r="L367" s="10"/>
      <x:c r="M367" s="2"/>
      <x:c r="N367" s="2"/>
      <x:c r="O367" s="2"/>
      <x:c r="P367" s="9"/>
      <x:c r="Q367" s="2"/>
      <x:c r="R367" s="2"/>
      <x:c r="S367" s="10"/>
    </x:row>
    <x:row r="368" ht="72" customHeight="1">
      <x:c r="A368" s="2"/>
      <x:c r="B368" s="2"/>
      <x:c r="C368" s="3"/>
      <x:c r="D368" s="2"/>
      <x:c r="E368" s="4"/>
      <x:c r="F368" s="3"/>
      <x:c r="G368" s="5"/>
      <x:c r="H368" s="2"/>
      <x:c r="I368" s="2"/>
      <x:c r="J368" s="2"/>
      <x:c r="K368" s="3"/>
      <x:c r="L368" s="10"/>
      <x:c r="M368" s="2"/>
      <x:c r="N368" s="2"/>
      <x:c r="O368" s="2"/>
      <x:c r="P368" s="9"/>
      <x:c r="Q368" s="2"/>
      <x:c r="R368" s="2"/>
      <x:c r="S368" s="10"/>
    </x:row>
    <x:row r="369" ht="72" customHeight="1">
      <x:c r="A369" s="2"/>
      <x:c r="B369" s="2"/>
      <x:c r="C369" s="3"/>
      <x:c r="D369" s="2"/>
      <x:c r="E369" s="4"/>
      <x:c r="F369" s="3"/>
      <x:c r="G369" s="5"/>
      <x:c r="H369" s="2"/>
      <x:c r="I369" s="2"/>
      <x:c r="J369" s="2"/>
      <x:c r="K369" s="3"/>
      <x:c r="L369" s="10"/>
      <x:c r="M369" s="2"/>
      <x:c r="N369" s="2"/>
      <x:c r="O369" s="2"/>
      <x:c r="P369" s="9"/>
      <x:c r="Q369" s="2"/>
      <x:c r="R369" s="2"/>
      <x:c r="S369" s="10"/>
    </x:row>
    <x:row r="370" ht="72" customHeight="1">
      <x:c r="A370" s="2"/>
      <x:c r="B370" s="2"/>
      <x:c r="C370" s="3"/>
      <x:c r="D370" s="2"/>
      <x:c r="E370" s="4"/>
      <x:c r="F370" s="3"/>
      <x:c r="G370" s="5"/>
      <x:c r="H370" s="2"/>
      <x:c r="I370" s="2"/>
      <x:c r="J370" s="2"/>
      <x:c r="K370" s="3"/>
      <x:c r="L370" s="10"/>
      <x:c r="M370" s="2"/>
      <x:c r="N370" s="2"/>
      <x:c r="O370" s="2"/>
      <x:c r="P370" s="9"/>
      <x:c r="Q370" s="2"/>
      <x:c r="R370" s="2"/>
      <x:c r="S370" s="10"/>
    </x:row>
    <x:row r="371" ht="72" customHeight="1">
      <x:c r="A371" s="2"/>
      <x:c r="B371" s="2"/>
      <x:c r="C371" s="3"/>
      <x:c r="D371" s="2"/>
      <x:c r="E371" s="4"/>
      <x:c r="F371" s="3"/>
      <x:c r="G371" s="5"/>
      <x:c r="H371" s="2"/>
      <x:c r="I371" s="2"/>
      <x:c r="J371" s="2"/>
      <x:c r="K371" s="3"/>
      <x:c r="L371" s="10"/>
      <x:c r="M371" s="2"/>
      <x:c r="N371" s="2"/>
      <x:c r="O371" s="2"/>
      <x:c r="P371" s="9"/>
      <x:c r="Q371" s="2"/>
      <x:c r="R371" s="2"/>
      <x:c r="S371" s="10"/>
    </x:row>
    <x:row r="372" ht="72" customHeight="1">
      <x:c r="A372" s="2"/>
      <x:c r="B372" s="2"/>
      <x:c r="C372" s="3"/>
      <x:c r="D372" s="2"/>
      <x:c r="E372" s="4"/>
      <x:c r="F372" s="3"/>
      <x:c r="G372" s="5"/>
      <x:c r="H372" s="2"/>
      <x:c r="I372" s="2"/>
      <x:c r="J372" s="2"/>
      <x:c r="K372" s="3"/>
      <x:c r="L372" s="10"/>
      <x:c r="M372" s="2"/>
      <x:c r="N372" s="2"/>
      <x:c r="O372" s="2"/>
      <x:c r="P372" s="9"/>
      <x:c r="Q372" s="2"/>
      <x:c r="R372" s="2"/>
      <x:c r="S372" s="10"/>
    </x:row>
    <x:row r="373" ht="72" customHeight="1">
      <x:c r="A373" s="2"/>
      <x:c r="B373" s="2"/>
      <x:c r="C373" s="3"/>
      <x:c r="D373" s="2"/>
      <x:c r="E373" s="4"/>
      <x:c r="F373" s="3"/>
      <x:c r="G373" s="5"/>
      <x:c r="H373" s="2"/>
      <x:c r="I373" s="2"/>
      <x:c r="J373" s="2"/>
      <x:c r="K373" s="3"/>
      <x:c r="L373" s="10"/>
      <x:c r="M373" s="2"/>
      <x:c r="N373" s="2"/>
      <x:c r="O373" s="2"/>
      <x:c r="P373" s="9"/>
      <x:c r="Q373" s="2"/>
      <x:c r="R373" s="2"/>
      <x:c r="S373" s="10"/>
    </x:row>
    <x:row r="374" ht="72" customHeight="1">
      <x:c r="A374" s="2"/>
      <x:c r="B374" s="2"/>
      <x:c r="C374" s="3"/>
      <x:c r="D374" s="2"/>
      <x:c r="E374" s="4"/>
      <x:c r="F374" s="3"/>
      <x:c r="G374" s="5"/>
      <x:c r="H374" s="2"/>
      <x:c r="I374" s="2"/>
      <x:c r="J374" s="2"/>
      <x:c r="K374" s="3"/>
      <x:c r="L374" s="10"/>
      <x:c r="M374" s="2"/>
      <x:c r="N374" s="2"/>
      <x:c r="O374" s="2"/>
      <x:c r="P374" s="9"/>
      <x:c r="Q374" s="2"/>
      <x:c r="R374" s="2"/>
      <x:c r="S374" s="10"/>
    </x:row>
    <x:row r="375" ht="72" customHeight="1">
      <x:c r="A375" s="2"/>
      <x:c r="B375" s="2"/>
      <x:c r="C375" s="3"/>
      <x:c r="D375" s="2"/>
      <x:c r="E375" s="4"/>
      <x:c r="F375" s="3"/>
      <x:c r="G375" s="5"/>
      <x:c r="H375" s="2"/>
      <x:c r="I375" s="2"/>
      <x:c r="J375" s="2"/>
      <x:c r="K375" s="3"/>
      <x:c r="L375" s="10"/>
      <x:c r="M375" s="2"/>
      <x:c r="N375" s="2"/>
      <x:c r="O375" s="2"/>
      <x:c r="P375" s="9"/>
      <x:c r="Q375" s="2"/>
      <x:c r="R375" s="2"/>
      <x:c r="S375" s="10"/>
    </x:row>
    <x:row r="376" ht="72" customHeight="1">
      <x:c r="A376" s="2"/>
      <x:c r="B376" s="2"/>
      <x:c r="C376" s="3"/>
      <x:c r="D376" s="2"/>
      <x:c r="E376" s="4"/>
      <x:c r="F376" s="3"/>
      <x:c r="G376" s="5"/>
      <x:c r="H376" s="2"/>
      <x:c r="I376" s="2"/>
      <x:c r="J376" s="2"/>
      <x:c r="K376" s="3"/>
      <x:c r="L376" s="10"/>
      <x:c r="M376" s="2"/>
      <x:c r="N376" s="2"/>
      <x:c r="O376" s="2"/>
      <x:c r="P376" s="9"/>
      <x:c r="Q376" s="2"/>
      <x:c r="R376" s="2"/>
      <x:c r="S376" s="10"/>
    </x:row>
    <x:row r="377" ht="72" customHeight="1">
      <x:c r="A377" s="2"/>
      <x:c r="B377" s="2"/>
      <x:c r="C377" s="3"/>
      <x:c r="D377" s="2"/>
      <x:c r="E377" s="4"/>
      <x:c r="F377" s="3"/>
      <x:c r="G377" s="5"/>
      <x:c r="H377" s="2"/>
      <x:c r="I377" s="2"/>
      <x:c r="J377" s="2"/>
      <x:c r="K377" s="3"/>
      <x:c r="L377" s="10"/>
      <x:c r="M377" s="2"/>
      <x:c r="N377" s="2"/>
      <x:c r="O377" s="2"/>
      <x:c r="P377" s="9"/>
      <x:c r="Q377" s="2"/>
      <x:c r="R377" s="2"/>
      <x:c r="S377" s="10"/>
    </x:row>
    <x:row r="378" ht="72" customHeight="1">
      <x:c r="A378" s="2"/>
      <x:c r="B378" s="2"/>
      <x:c r="C378" s="3"/>
      <x:c r="D378" s="2"/>
      <x:c r="E378" s="4"/>
      <x:c r="F378" s="3"/>
      <x:c r="G378" s="5"/>
      <x:c r="H378" s="2"/>
      <x:c r="I378" s="2"/>
      <x:c r="J378" s="2"/>
      <x:c r="K378" s="3"/>
      <x:c r="L378" s="10"/>
      <x:c r="M378" s="2"/>
      <x:c r="N378" s="2"/>
      <x:c r="O378" s="2"/>
      <x:c r="P378" s="9"/>
      <x:c r="Q378" s="2"/>
      <x:c r="R378" s="2"/>
      <x:c r="S378" s="10"/>
    </x:row>
    <x:row r="379" ht="72" customHeight="1">
      <x:c r="A379" s="2"/>
      <x:c r="B379" s="2"/>
      <x:c r="C379" s="3"/>
      <x:c r="D379" s="2"/>
      <x:c r="E379" s="4"/>
      <x:c r="F379" s="3"/>
      <x:c r="G379" s="5"/>
      <x:c r="H379" s="2"/>
      <x:c r="I379" s="2"/>
      <x:c r="J379" s="2"/>
      <x:c r="K379" s="3"/>
      <x:c r="L379" s="10"/>
      <x:c r="M379" s="2"/>
      <x:c r="N379" s="2"/>
      <x:c r="O379" s="2"/>
      <x:c r="P379" s="9"/>
      <x:c r="Q379" s="2"/>
      <x:c r="R379" s="2"/>
      <x:c r="S379" s="10"/>
    </x:row>
    <x:row r="380" ht="72" customHeight="1">
      <x:c r="A380" s="2"/>
      <x:c r="B380" s="2"/>
      <x:c r="C380" s="3"/>
      <x:c r="D380" s="2"/>
      <x:c r="E380" s="4"/>
      <x:c r="F380" s="3"/>
      <x:c r="G380" s="5"/>
      <x:c r="H380" s="2"/>
      <x:c r="I380" s="2"/>
      <x:c r="J380" s="2"/>
      <x:c r="K380" s="3"/>
      <x:c r="L380" s="10"/>
      <x:c r="M380" s="2"/>
      <x:c r="N380" s="2"/>
      <x:c r="O380" s="2"/>
      <x:c r="P380" s="9"/>
      <x:c r="Q380" s="2"/>
      <x:c r="R380" s="2"/>
      <x:c r="S380" s="10"/>
    </x:row>
    <x:row r="381" ht="72" customHeight="1">
      <x:c r="A381" s="2"/>
      <x:c r="B381" s="2"/>
      <x:c r="C381" s="3"/>
      <x:c r="D381" s="2"/>
      <x:c r="E381" s="4"/>
      <x:c r="F381" s="3"/>
      <x:c r="G381" s="5"/>
      <x:c r="H381" s="2"/>
      <x:c r="I381" s="2"/>
      <x:c r="J381" s="2"/>
      <x:c r="K381" s="3"/>
      <x:c r="L381" s="10"/>
      <x:c r="M381" s="2"/>
      <x:c r="N381" s="2"/>
      <x:c r="O381" s="2"/>
      <x:c r="P381" s="9"/>
      <x:c r="Q381" s="2"/>
      <x:c r="R381" s="2"/>
      <x:c r="S381" s="10"/>
    </x:row>
    <x:row r="382" ht="72" customHeight="1">
      <x:c r="A382" s="2"/>
      <x:c r="B382" s="2"/>
      <x:c r="C382" s="3"/>
      <x:c r="D382" s="2"/>
      <x:c r="E382" s="4"/>
      <x:c r="F382" s="3"/>
      <x:c r="G382" s="5"/>
      <x:c r="H382" s="2"/>
      <x:c r="I382" s="2"/>
      <x:c r="J382" s="2"/>
      <x:c r="K382" s="3"/>
      <x:c r="L382" s="10"/>
      <x:c r="M382" s="2"/>
      <x:c r="N382" s="2"/>
      <x:c r="O382" s="2"/>
      <x:c r="P382" s="9"/>
      <x:c r="Q382" s="2"/>
      <x:c r="R382" s="2"/>
      <x:c r="S382" s="10"/>
    </x:row>
    <x:row r="383" ht="72" customHeight="1">
      <x:c r="A383" s="2"/>
      <x:c r="B383" s="2"/>
      <x:c r="C383" s="3"/>
      <x:c r="D383" s="2"/>
      <x:c r="E383" s="4"/>
      <x:c r="F383" s="3"/>
      <x:c r="G383" s="5"/>
      <x:c r="H383" s="2"/>
      <x:c r="I383" s="2"/>
      <x:c r="J383" s="2"/>
      <x:c r="K383" s="3"/>
      <x:c r="L383" s="10"/>
      <x:c r="M383" s="2"/>
      <x:c r="N383" s="2"/>
      <x:c r="O383" s="2"/>
      <x:c r="P383" s="9"/>
      <x:c r="Q383" s="2"/>
      <x:c r="R383" s="2"/>
      <x:c r="S383" s="10"/>
    </x:row>
    <x:row r="384" ht="72" customHeight="1">
      <x:c r="A384" s="2"/>
      <x:c r="B384" s="2"/>
      <x:c r="C384" s="3"/>
      <x:c r="D384" s="2"/>
      <x:c r="E384" s="4"/>
      <x:c r="F384" s="3"/>
      <x:c r="G384" s="5"/>
      <x:c r="H384" s="2"/>
      <x:c r="I384" s="2"/>
      <x:c r="J384" s="2"/>
      <x:c r="K384" s="3"/>
      <x:c r="L384" s="10"/>
      <x:c r="M384" s="2"/>
      <x:c r="N384" s="2"/>
      <x:c r="O384" s="2"/>
      <x:c r="P384" s="9"/>
      <x:c r="Q384" s="2"/>
      <x:c r="R384" s="2"/>
      <x:c r="S384" s="10"/>
    </x:row>
    <x:row r="385" ht="72" customHeight="1">
      <x:c r="A385" s="2"/>
      <x:c r="B385" s="2"/>
      <x:c r="C385" s="3"/>
      <x:c r="D385" s="2"/>
      <x:c r="E385" s="4"/>
      <x:c r="F385" s="3"/>
      <x:c r="G385" s="5"/>
      <x:c r="H385" s="2"/>
      <x:c r="I385" s="2"/>
      <x:c r="J385" s="2"/>
      <x:c r="K385" s="3"/>
      <x:c r="L385" s="10"/>
      <x:c r="M385" s="2"/>
      <x:c r="N385" s="2"/>
      <x:c r="O385" s="2"/>
      <x:c r="P385" s="9"/>
      <x:c r="Q385" s="2"/>
      <x:c r="R385" s="2"/>
      <x:c r="S385" s="10"/>
    </x:row>
    <x:row r="386" ht="72" customHeight="1">
      <x:c r="A386" s="2"/>
      <x:c r="B386" s="2"/>
      <x:c r="C386" s="3"/>
      <x:c r="D386" s="2"/>
      <x:c r="E386" s="4"/>
      <x:c r="F386" s="3"/>
      <x:c r="G386" s="5"/>
      <x:c r="H386" s="2"/>
      <x:c r="I386" s="2"/>
      <x:c r="J386" s="2"/>
      <x:c r="K386" s="3"/>
      <x:c r="L386" s="10"/>
      <x:c r="M386" s="2"/>
      <x:c r="N386" s="2"/>
      <x:c r="O386" s="2"/>
      <x:c r="P386" s="9"/>
      <x:c r="Q386" s="2"/>
      <x:c r="R386" s="2"/>
      <x:c r="S386" s="10"/>
    </x:row>
    <x:row r="387" ht="72" customHeight="1">
      <x:c r="A387" s="2"/>
      <x:c r="B387" s="2"/>
      <x:c r="C387" s="3"/>
      <x:c r="D387" s="2"/>
      <x:c r="E387" s="4"/>
      <x:c r="F387" s="3"/>
      <x:c r="G387" s="5"/>
      <x:c r="H387" s="2"/>
      <x:c r="I387" s="2"/>
      <x:c r="J387" s="2"/>
      <x:c r="K387" s="3"/>
      <x:c r="L387" s="10"/>
      <x:c r="M387" s="2"/>
      <x:c r="N387" s="2"/>
      <x:c r="O387" s="2"/>
      <x:c r="P387" s="9"/>
      <x:c r="Q387" s="2"/>
      <x:c r="R387" s="2"/>
      <x:c r="S387" s="10"/>
    </x:row>
    <x:row r="388" ht="72" customHeight="1">
      <x:c r="A388" s="2"/>
      <x:c r="B388" s="2"/>
      <x:c r="C388" s="3"/>
      <x:c r="D388" s="2"/>
      <x:c r="E388" s="4"/>
      <x:c r="F388" s="3"/>
      <x:c r="G388" s="5"/>
      <x:c r="H388" s="2"/>
      <x:c r="I388" s="2"/>
      <x:c r="J388" s="2"/>
      <x:c r="K388" s="3"/>
      <x:c r="L388" s="10"/>
      <x:c r="M388" s="2"/>
      <x:c r="N388" s="2"/>
      <x:c r="O388" s="2"/>
      <x:c r="P388" s="9"/>
      <x:c r="Q388" s="2"/>
      <x:c r="R388" s="2"/>
      <x:c r="S388" s="10"/>
    </x:row>
    <x:row r="389" ht="72" customHeight="1">
      <x:c r="A389" s="2"/>
      <x:c r="B389" s="2"/>
      <x:c r="C389" s="3"/>
      <x:c r="D389" s="2"/>
      <x:c r="E389" s="4"/>
      <x:c r="F389" s="3"/>
      <x:c r="G389" s="5"/>
      <x:c r="H389" s="2"/>
      <x:c r="I389" s="2"/>
      <x:c r="J389" s="2"/>
      <x:c r="K389" s="3"/>
      <x:c r="L389" s="10"/>
      <x:c r="M389" s="2"/>
      <x:c r="N389" s="2"/>
      <x:c r="O389" s="2"/>
      <x:c r="P389" s="9"/>
      <x:c r="Q389" s="2"/>
      <x:c r="R389" s="2"/>
      <x:c r="S389" s="10"/>
    </x:row>
    <x:row r="390" ht="72" customHeight="1">
      <x:c r="A390" s="2"/>
      <x:c r="B390" s="2"/>
      <x:c r="C390" s="3"/>
      <x:c r="D390" s="2"/>
      <x:c r="E390" s="4"/>
      <x:c r="F390" s="3"/>
      <x:c r="G390" s="5"/>
      <x:c r="H390" s="2"/>
      <x:c r="I390" s="2"/>
      <x:c r="J390" s="2"/>
      <x:c r="K390" s="3"/>
      <x:c r="L390" s="10"/>
      <x:c r="M390" s="2"/>
      <x:c r="N390" s="2"/>
      <x:c r="O390" s="2"/>
      <x:c r="P390" s="9"/>
      <x:c r="Q390" s="2"/>
      <x:c r="R390" s="2"/>
      <x:c r="S390" s="10"/>
    </x:row>
    <x:row r="391" ht="72" customHeight="1">
      <x:c r="A391" s="2"/>
      <x:c r="B391" s="2"/>
      <x:c r="C391" s="3"/>
      <x:c r="D391" s="2"/>
      <x:c r="E391" s="4"/>
      <x:c r="F391" s="3"/>
      <x:c r="G391" s="5"/>
      <x:c r="H391" s="2"/>
      <x:c r="I391" s="2"/>
      <x:c r="J391" s="2"/>
      <x:c r="K391" s="3"/>
      <x:c r="L391" s="10"/>
      <x:c r="M391" s="2"/>
      <x:c r="N391" s="2"/>
      <x:c r="O391" s="2"/>
      <x:c r="P391" s="9"/>
      <x:c r="Q391" s="2"/>
      <x:c r="R391" s="2"/>
      <x:c r="S391" s="10"/>
    </x:row>
    <x:row r="392" ht="72" customHeight="1">
      <x:c r="A392" s="2"/>
      <x:c r="B392" s="2"/>
      <x:c r="C392" s="3"/>
      <x:c r="D392" s="2"/>
      <x:c r="E392" s="4"/>
      <x:c r="F392" s="3"/>
      <x:c r="G392" s="5"/>
      <x:c r="H392" s="2"/>
      <x:c r="I392" s="2"/>
      <x:c r="J392" s="2"/>
      <x:c r="K392" s="3"/>
      <x:c r="L392" s="10"/>
      <x:c r="M392" s="2"/>
      <x:c r="N392" s="2"/>
      <x:c r="O392" s="2"/>
      <x:c r="P392" s="9"/>
      <x:c r="Q392" s="2"/>
      <x:c r="R392" s="2"/>
      <x:c r="S392" s="10"/>
    </x:row>
    <x:row r="393" ht="72" customHeight="1">
      <x:c r="A393" s="2"/>
      <x:c r="B393" s="2"/>
      <x:c r="C393" s="3"/>
      <x:c r="D393" s="2"/>
      <x:c r="E393" s="4"/>
      <x:c r="F393" s="3"/>
      <x:c r="G393" s="5"/>
      <x:c r="H393" s="2"/>
      <x:c r="I393" s="2"/>
      <x:c r="J393" s="2"/>
      <x:c r="K393" s="3"/>
      <x:c r="L393" s="10"/>
      <x:c r="M393" s="2"/>
      <x:c r="N393" s="2"/>
      <x:c r="O393" s="2"/>
      <x:c r="P393" s="9"/>
      <x:c r="Q393" s="2"/>
      <x:c r="R393" s="2"/>
      <x:c r="S393" s="10"/>
    </x:row>
    <x:row r="394" ht="72" customHeight="1">
      <x:c r="A394" s="2"/>
      <x:c r="B394" s="2"/>
      <x:c r="C394" s="3"/>
      <x:c r="D394" s="2"/>
      <x:c r="E394" s="4"/>
      <x:c r="F394" s="3"/>
      <x:c r="G394" s="5"/>
      <x:c r="H394" s="2"/>
      <x:c r="I394" s="2"/>
      <x:c r="J394" s="2"/>
      <x:c r="K394" s="3"/>
      <x:c r="L394" s="10"/>
      <x:c r="M394" s="2"/>
      <x:c r="N394" s="2"/>
      <x:c r="O394" s="2"/>
      <x:c r="P394" s="9"/>
      <x:c r="Q394" s="2"/>
      <x:c r="R394" s="2"/>
      <x:c r="S394" s="10"/>
    </x:row>
    <x:row r="395" ht="72" customHeight="1">
      <x:c r="A395" s="2"/>
      <x:c r="B395" s="2"/>
      <x:c r="C395" s="3"/>
      <x:c r="D395" s="2"/>
      <x:c r="E395" s="4"/>
      <x:c r="F395" s="3"/>
      <x:c r="G395" s="5"/>
      <x:c r="H395" s="2"/>
      <x:c r="I395" s="2"/>
      <x:c r="J395" s="2"/>
      <x:c r="K395" s="3"/>
      <x:c r="L395" s="10"/>
      <x:c r="M395" s="2"/>
      <x:c r="N395" s="2"/>
      <x:c r="O395" s="2"/>
      <x:c r="P395" s="9"/>
      <x:c r="Q395" s="2"/>
      <x:c r="R395" s="2"/>
      <x:c r="S395" s="10"/>
    </x:row>
    <x:row r="396" ht="72" customHeight="1">
      <x:c r="A396" s="2"/>
      <x:c r="B396" s="2"/>
      <x:c r="C396" s="3"/>
      <x:c r="D396" s="2"/>
      <x:c r="E396" s="4"/>
      <x:c r="F396" s="3"/>
      <x:c r="G396" s="5"/>
      <x:c r="H396" s="2"/>
      <x:c r="I396" s="2"/>
      <x:c r="J396" s="2"/>
      <x:c r="K396" s="3"/>
      <x:c r="L396" s="10"/>
      <x:c r="M396" s="2"/>
      <x:c r="N396" s="2"/>
      <x:c r="O396" s="2"/>
      <x:c r="P396" s="9"/>
      <x:c r="Q396" s="2"/>
      <x:c r="R396" s="2"/>
      <x:c r="S396" s="10"/>
    </x:row>
    <x:row r="397" ht="72" customHeight="1">
      <x:c r="A397" s="2"/>
      <x:c r="B397" s="2"/>
      <x:c r="C397" s="3"/>
      <x:c r="D397" s="2"/>
      <x:c r="E397" s="4"/>
      <x:c r="F397" s="3"/>
      <x:c r="G397" s="5"/>
      <x:c r="H397" s="2"/>
      <x:c r="I397" s="2"/>
      <x:c r="J397" s="2"/>
      <x:c r="K397" s="3"/>
      <x:c r="L397" s="10"/>
      <x:c r="M397" s="2"/>
      <x:c r="N397" s="2"/>
      <x:c r="O397" s="2"/>
      <x:c r="P397" s="9"/>
      <x:c r="Q397" s="2"/>
      <x:c r="R397" s="2"/>
      <x:c r="S397" s="10"/>
    </x:row>
    <x:row r="398" ht="72" customHeight="1">
      <x:c r="A398" s="2"/>
      <x:c r="B398" s="2"/>
      <x:c r="C398" s="3"/>
      <x:c r="D398" s="2"/>
      <x:c r="E398" s="4"/>
      <x:c r="F398" s="3"/>
      <x:c r="G398" s="5"/>
      <x:c r="H398" s="2"/>
      <x:c r="I398" s="2"/>
      <x:c r="J398" s="2"/>
      <x:c r="K398" s="3"/>
      <x:c r="L398" s="10"/>
      <x:c r="M398" s="2"/>
      <x:c r="N398" s="2"/>
      <x:c r="O398" s="2"/>
      <x:c r="P398" s="9"/>
      <x:c r="Q398" s="2"/>
      <x:c r="R398" s="2"/>
      <x:c r="S398" s="10"/>
    </x:row>
    <x:row r="399" ht="72" customHeight="1">
      <x:c r="A399" s="2"/>
      <x:c r="B399" s="2"/>
      <x:c r="C399" s="3"/>
      <x:c r="D399" s="2"/>
      <x:c r="E399" s="4"/>
      <x:c r="F399" s="3"/>
      <x:c r="G399" s="5"/>
      <x:c r="H399" s="2"/>
      <x:c r="I399" s="2"/>
      <x:c r="J399" s="2"/>
      <x:c r="K399" s="3"/>
      <x:c r="L399" s="10"/>
      <x:c r="M399" s="2"/>
      <x:c r="N399" s="2"/>
      <x:c r="O399" s="2"/>
      <x:c r="P399" s="9"/>
      <x:c r="Q399" s="2"/>
      <x:c r="R399" s="2"/>
      <x:c r="S399" s="10"/>
    </x:row>
    <x:row r="400" ht="72" customHeight="1">
      <x:c r="A400" s="2"/>
      <x:c r="B400" s="2"/>
      <x:c r="C400" s="3"/>
      <x:c r="D400" s="2"/>
      <x:c r="E400" s="4"/>
      <x:c r="F400" s="3"/>
      <x:c r="G400" s="5"/>
      <x:c r="H400" s="2"/>
      <x:c r="I400" s="2"/>
      <x:c r="J400" s="2"/>
      <x:c r="K400" s="3"/>
      <x:c r="L400" s="10"/>
      <x:c r="M400" s="2"/>
      <x:c r="N400" s="2"/>
      <x:c r="O400" s="2"/>
      <x:c r="P400" s="9"/>
      <x:c r="Q400" s="2"/>
      <x:c r="R400" s="2"/>
      <x:c r="S400" s="10"/>
    </x:row>
    <x:row r="401" ht="72" customHeight="1">
      <x:c r="A401" s="2"/>
      <x:c r="B401" s="2"/>
      <x:c r="C401" s="3"/>
      <x:c r="D401" s="2"/>
      <x:c r="E401" s="4"/>
      <x:c r="F401" s="3"/>
      <x:c r="G401" s="5"/>
      <x:c r="H401" s="2"/>
      <x:c r="I401" s="2"/>
      <x:c r="J401" s="2"/>
      <x:c r="K401" s="3"/>
      <x:c r="L401" s="10"/>
      <x:c r="M401" s="2"/>
      <x:c r="N401" s="2"/>
      <x:c r="O401" s="2"/>
      <x:c r="P401" s="9"/>
      <x:c r="Q401" s="2"/>
      <x:c r="R401" s="2"/>
      <x:c r="S401" s="10"/>
    </x:row>
    <x:row r="402" ht="72" customHeight="1">
      <x:c r="A402" s="2"/>
      <x:c r="B402" s="2"/>
      <x:c r="C402" s="3"/>
      <x:c r="D402" s="2"/>
      <x:c r="E402" s="4"/>
      <x:c r="F402" s="3"/>
      <x:c r="G402" s="5"/>
      <x:c r="H402" s="2"/>
      <x:c r="I402" s="2"/>
      <x:c r="J402" s="2"/>
      <x:c r="K402" s="3"/>
      <x:c r="L402" s="10"/>
      <x:c r="M402" s="2"/>
      <x:c r="N402" s="2"/>
      <x:c r="O402" s="2"/>
      <x:c r="P402" s="9"/>
      <x:c r="Q402" s="2"/>
      <x:c r="R402" s="2"/>
      <x:c r="S402" s="10"/>
    </x:row>
    <x:row r="403" ht="72" customHeight="1">
      <x:c r="A403" s="2"/>
      <x:c r="B403" s="2"/>
      <x:c r="C403" s="3"/>
      <x:c r="D403" s="2"/>
      <x:c r="E403" s="4"/>
      <x:c r="F403" s="3"/>
      <x:c r="G403" s="5"/>
      <x:c r="H403" s="2"/>
      <x:c r="I403" s="2"/>
      <x:c r="J403" s="2"/>
      <x:c r="K403" s="3"/>
      <x:c r="L403" s="10"/>
      <x:c r="M403" s="2"/>
      <x:c r="N403" s="2"/>
      <x:c r="O403" s="2"/>
      <x:c r="P403" s="9"/>
      <x:c r="Q403" s="2"/>
      <x:c r="R403" s="2"/>
      <x:c r="S403" s="10"/>
    </x:row>
    <x:row r="404" ht="72" customHeight="1">
      <x:c r="A404" s="2"/>
      <x:c r="B404" s="2"/>
      <x:c r="C404" s="3"/>
      <x:c r="D404" s="2"/>
      <x:c r="E404" s="4"/>
      <x:c r="F404" s="3"/>
      <x:c r="G404" s="5"/>
      <x:c r="H404" s="2"/>
      <x:c r="I404" s="2"/>
      <x:c r="J404" s="2"/>
      <x:c r="K404" s="3"/>
      <x:c r="L404" s="10"/>
      <x:c r="M404" s="2"/>
      <x:c r="N404" s="2"/>
      <x:c r="O404" s="2"/>
      <x:c r="P404" s="9"/>
      <x:c r="Q404" s="2"/>
      <x:c r="R404" s="2"/>
      <x:c r="S404" s="10"/>
    </x:row>
    <x:row r="405" ht="72" customHeight="1">
      <x:c r="A405" s="2"/>
      <x:c r="B405" s="2"/>
      <x:c r="C405" s="3"/>
      <x:c r="D405" s="2"/>
      <x:c r="E405" s="4"/>
      <x:c r="F405" s="3"/>
      <x:c r="G405" s="5"/>
      <x:c r="H405" s="2"/>
      <x:c r="I405" s="2"/>
      <x:c r="J405" s="2"/>
      <x:c r="K405" s="3"/>
      <x:c r="L405" s="10"/>
      <x:c r="M405" s="2"/>
      <x:c r="N405" s="2"/>
      <x:c r="O405" s="2"/>
      <x:c r="P405" s="9"/>
      <x:c r="Q405" s="2"/>
      <x:c r="R405" s="2"/>
      <x:c r="S405" s="10"/>
    </x:row>
    <x:row r="406" ht="72" customHeight="1">
      <x:c r="A406" s="2"/>
      <x:c r="B406" s="2"/>
      <x:c r="C406" s="3"/>
      <x:c r="D406" s="2"/>
      <x:c r="E406" s="4"/>
      <x:c r="F406" s="3"/>
      <x:c r="G406" s="5"/>
      <x:c r="H406" s="2"/>
      <x:c r="I406" s="2"/>
      <x:c r="J406" s="2"/>
      <x:c r="K406" s="3"/>
      <x:c r="L406" s="10"/>
      <x:c r="M406" s="2"/>
      <x:c r="N406" s="2"/>
      <x:c r="O406" s="2"/>
      <x:c r="P406" s="9"/>
      <x:c r="Q406" s="2"/>
      <x:c r="R406" s="2"/>
      <x:c r="S406" s="10"/>
    </x:row>
    <x:row r="407" ht="72" customHeight="1">
      <x:c r="A407" s="2"/>
      <x:c r="B407" s="2"/>
      <x:c r="C407" s="3"/>
      <x:c r="D407" s="2"/>
      <x:c r="E407" s="4"/>
      <x:c r="F407" s="3"/>
      <x:c r="G407" s="5"/>
      <x:c r="H407" s="2"/>
      <x:c r="I407" s="2"/>
      <x:c r="J407" s="2"/>
      <x:c r="K407" s="3"/>
      <x:c r="L407" s="10"/>
      <x:c r="M407" s="2"/>
      <x:c r="N407" s="2"/>
      <x:c r="O407" s="2"/>
      <x:c r="P407" s="9"/>
      <x:c r="Q407" s="2"/>
      <x:c r="R407" s="2"/>
      <x:c r="S407" s="10"/>
    </x:row>
    <x:row r="408" ht="72" customHeight="1">
      <x:c r="A408" s="2"/>
      <x:c r="B408" s="2"/>
      <x:c r="C408" s="3"/>
      <x:c r="D408" s="2"/>
      <x:c r="E408" s="4"/>
      <x:c r="F408" s="3"/>
      <x:c r="G408" s="5"/>
      <x:c r="H408" s="2"/>
      <x:c r="I408" s="2"/>
      <x:c r="J408" s="2"/>
      <x:c r="K408" s="3"/>
      <x:c r="L408" s="10"/>
      <x:c r="M408" s="2"/>
      <x:c r="N408" s="2"/>
      <x:c r="O408" s="2"/>
      <x:c r="P408" s="9"/>
      <x:c r="Q408" s="2"/>
      <x:c r="R408" s="2"/>
      <x:c r="S408" s="10"/>
    </x:row>
    <x:row r="409" ht="72" customHeight="1">
      <x:c r="A409" s="2"/>
      <x:c r="B409" s="2"/>
      <x:c r="C409" s="3"/>
      <x:c r="D409" s="2"/>
      <x:c r="E409" s="4"/>
      <x:c r="F409" s="3"/>
      <x:c r="G409" s="5"/>
      <x:c r="H409" s="2"/>
      <x:c r="I409" s="2"/>
      <x:c r="J409" s="2"/>
      <x:c r="K409" s="3"/>
      <x:c r="L409" s="10"/>
      <x:c r="M409" s="2"/>
      <x:c r="N409" s="2"/>
      <x:c r="O409" s="2"/>
      <x:c r="P409" s="9"/>
      <x:c r="Q409" s="2"/>
      <x:c r="R409" s="2"/>
      <x:c r="S409" s="10"/>
    </x:row>
    <x:row r="410" ht="72" customHeight="1">
      <x:c r="A410" s="2"/>
      <x:c r="B410" s="2"/>
      <x:c r="C410" s="3"/>
      <x:c r="D410" s="2"/>
      <x:c r="E410" s="4"/>
      <x:c r="F410" s="3"/>
      <x:c r="G410" s="5"/>
      <x:c r="H410" s="2"/>
      <x:c r="I410" s="2"/>
      <x:c r="J410" s="2"/>
      <x:c r="K410" s="3"/>
      <x:c r="L410" s="10"/>
      <x:c r="M410" s="2"/>
      <x:c r="N410" s="2"/>
      <x:c r="O410" s="2"/>
      <x:c r="P410" s="9"/>
      <x:c r="Q410" s="2"/>
      <x:c r="R410" s="2"/>
      <x:c r="S410" s="10"/>
    </x:row>
    <x:row r="411" ht="72" customHeight="1">
      <x:c r="A411" s="2"/>
      <x:c r="B411" s="2"/>
      <x:c r="C411" s="3"/>
      <x:c r="D411" s="2"/>
      <x:c r="E411" s="4"/>
      <x:c r="F411" s="3"/>
      <x:c r="G411" s="5"/>
      <x:c r="H411" s="2"/>
      <x:c r="I411" s="2"/>
      <x:c r="J411" s="2"/>
      <x:c r="K411" s="3"/>
      <x:c r="L411" s="10"/>
      <x:c r="M411" s="2"/>
      <x:c r="N411" s="2"/>
      <x:c r="O411" s="2"/>
      <x:c r="P411" s="9"/>
      <x:c r="Q411" s="2"/>
      <x:c r="R411" s="2"/>
      <x:c r="S411" s="10"/>
    </x:row>
    <x:row r="412" ht="72" customHeight="1">
      <x:c r="A412" s="2"/>
      <x:c r="B412" s="2"/>
      <x:c r="C412" s="3"/>
      <x:c r="D412" s="2"/>
      <x:c r="E412" s="4"/>
      <x:c r="F412" s="3"/>
      <x:c r="G412" s="5"/>
      <x:c r="H412" s="2"/>
      <x:c r="I412" s="2"/>
      <x:c r="J412" s="2"/>
      <x:c r="K412" s="3"/>
      <x:c r="L412" s="10"/>
      <x:c r="M412" s="2"/>
      <x:c r="N412" s="2"/>
      <x:c r="O412" s="2"/>
      <x:c r="P412" s="9"/>
      <x:c r="Q412" s="2"/>
      <x:c r="R412" s="2"/>
      <x:c r="S412" s="10"/>
    </x:row>
    <x:row r="413" ht="72" customHeight="1">
      <x:c r="A413" s="2"/>
      <x:c r="B413" s="2"/>
      <x:c r="C413" s="3"/>
      <x:c r="D413" s="2"/>
      <x:c r="E413" s="4"/>
      <x:c r="F413" s="3"/>
      <x:c r="G413" s="5"/>
      <x:c r="H413" s="2"/>
      <x:c r="I413" s="2"/>
      <x:c r="J413" s="2"/>
      <x:c r="K413" s="3"/>
      <x:c r="L413" s="10"/>
      <x:c r="M413" s="2"/>
      <x:c r="N413" s="2"/>
      <x:c r="O413" s="2"/>
      <x:c r="P413" s="9"/>
      <x:c r="Q413" s="2"/>
      <x:c r="R413" s="2"/>
      <x:c r="S413" s="10"/>
    </x:row>
    <x:row r="414" ht="72" customHeight="1">
      <x:c r="A414" s="2"/>
      <x:c r="B414" s="2"/>
      <x:c r="C414" s="3"/>
      <x:c r="D414" s="2"/>
      <x:c r="E414" s="4"/>
      <x:c r="F414" s="3"/>
      <x:c r="G414" s="5"/>
      <x:c r="H414" s="2"/>
      <x:c r="I414" s="2"/>
      <x:c r="J414" s="2"/>
      <x:c r="K414" s="3"/>
      <x:c r="L414" s="10"/>
      <x:c r="M414" s="2"/>
      <x:c r="N414" s="2"/>
      <x:c r="O414" s="2"/>
      <x:c r="P414" s="9"/>
      <x:c r="Q414" s="2"/>
      <x:c r="R414" s="2"/>
      <x:c r="S414" s="10"/>
    </x:row>
    <x:row r="415" ht="72" customHeight="1">
      <x:c r="A415" s="2"/>
      <x:c r="B415" s="2"/>
      <x:c r="C415" s="26"/>
      <x:c r="D415" s="26"/>
      <x:c r="E415" s="41"/>
      <x:c r="F415" s="26"/>
      <x:c r="G415" s="26"/>
      <x:c r="H415" s="26"/>
      <x:c r="I415" s="26"/>
      <x:c r="J415" s="26"/>
      <x:c r="K415" s="26"/>
      <x:c r="L415" s="26"/>
      <x:c r="M415" s="26"/>
      <x:c r="N415" s="26"/>
      <x:c r="O415" s="26"/>
      <x:c r="P415" s="20"/>
      <x:c r="Q415" s="26"/>
      <x:c r="R415" s="26"/>
      <x:c r="S415" s="26"/>
    </x:row>
    <x:row r="416" ht="72" customHeight="1">
      <x:c r="A416" s="2"/>
      <x:c r="B416" s="2"/>
      <x:c r="C416" s="26"/>
      <x:c r="D416" s="26"/>
      <x:c r="E416" s="41"/>
      <x:c r="F416" s="26"/>
      <x:c r="G416" s="26"/>
      <x:c r="H416" s="26"/>
      <x:c r="I416" s="26"/>
      <x:c r="J416" s="26"/>
      <x:c r="K416" s="26"/>
      <x:c r="L416" s="26"/>
      <x:c r="M416" s="26"/>
      <x:c r="N416" s="26"/>
      <x:c r="O416" s="26"/>
      <x:c r="P416" s="20"/>
      <x:c r="Q416" s="26"/>
      <x:c r="R416" s="26"/>
      <x:c r="S416" s="26"/>
    </x:row>
    <x:row r="417" ht="72" customHeight="1">
      <x:c r="A417" s="2"/>
      <x:c r="B417" s="2"/>
      <x:c r="C417" s="26"/>
      <x:c r="D417" s="26"/>
      <x:c r="E417" s="41"/>
      <x:c r="F417" s="26"/>
      <x:c r="G417" s="26"/>
      <x:c r="H417" s="26"/>
      <x:c r="I417" s="26"/>
      <x:c r="J417" s="26"/>
      <x:c r="K417" s="26"/>
      <x:c r="L417" s="26"/>
      <x:c r="M417" s="26"/>
      <x:c r="N417" s="26"/>
      <x:c r="O417" s="26"/>
      <x:c r="P417" s="20"/>
      <x:c r="Q417" s="26"/>
      <x:c r="R417" s="26"/>
      <x:c r="S417" s="26"/>
    </x:row>
    <x:row r="418" ht="72" customHeight="1">
      <x:c r="A418" s="2"/>
      <x:c r="B418" s="2"/>
      <x:c r="C418" s="26"/>
      <x:c r="D418" s="26"/>
      <x:c r="E418" s="41"/>
      <x:c r="F418" s="26"/>
      <x:c r="G418" s="26"/>
      <x:c r="H418" s="26"/>
      <x:c r="I418" s="26"/>
      <x:c r="J418" s="26"/>
      <x:c r="K418" s="26"/>
      <x:c r="L418" s="26"/>
      <x:c r="M418" s="26"/>
      <x:c r="N418" s="26"/>
      <x:c r="O418" s="26"/>
      <x:c r="P418" s="20"/>
      <x:c r="Q418" s="26"/>
      <x:c r="R418" s="26"/>
      <x:c r="S418" s="26"/>
    </x:row>
    <x:row r="419" ht="72" customHeight="1">
      <x:c r="A419" s="2"/>
      <x:c r="B419" s="2"/>
      <x:c r="C419" s="26"/>
      <x:c r="D419" s="26"/>
      <x:c r="E419" s="41"/>
      <x:c r="F419" s="26"/>
      <x:c r="G419" s="26"/>
      <x:c r="H419" s="26"/>
      <x:c r="I419" s="26"/>
      <x:c r="J419" s="26"/>
      <x:c r="K419" s="26"/>
      <x:c r="L419" s="26"/>
      <x:c r="M419" s="26"/>
      <x:c r="N419" s="26"/>
      <x:c r="O419" s="26"/>
      <x:c r="P419" s="20"/>
      <x:c r="Q419" s="26"/>
      <x:c r="R419" s="26"/>
      <x:c r="S419" s="26"/>
    </x:row>
    <x:row r="420" ht="72" customHeight="1">
      <x:c r="A420" s="2"/>
      <x:c r="B420" s="2"/>
      <x:c r="C420" s="26"/>
      <x:c r="D420" s="26"/>
      <x:c r="E420" s="41"/>
      <x:c r="F420" s="26"/>
      <x:c r="G420" s="26"/>
      <x:c r="H420" s="26"/>
      <x:c r="I420" s="26"/>
      <x:c r="J420" s="26"/>
      <x:c r="K420" s="26"/>
      <x:c r="L420" s="26"/>
      <x:c r="M420" s="26"/>
      <x:c r="N420" s="26"/>
      <x:c r="O420" s="26"/>
      <x:c r="P420" s="20"/>
      <x:c r="Q420" s="26"/>
      <x:c r="R420" s="26"/>
      <x:c r="S420" s="26"/>
    </x:row>
    <x:row r="421" ht="72" customHeight="1">
      <x:c r="A421" s="2"/>
      <x:c r="B421" s="2"/>
      <x:c r="C421" s="26"/>
      <x:c r="D421" s="26"/>
      <x:c r="E421" s="41"/>
      <x:c r="F421" s="26"/>
      <x:c r="G421" s="26"/>
      <x:c r="H421" s="26"/>
      <x:c r="I421" s="26"/>
      <x:c r="J421" s="26"/>
      <x:c r="K421" s="26"/>
      <x:c r="L421" s="26"/>
      <x:c r="M421" s="26"/>
      <x:c r="N421" s="26"/>
      <x:c r="O421" s="26"/>
      <x:c r="P421" s="20"/>
      <x:c r="Q421" s="26"/>
      <x:c r="R421" s="26"/>
      <x:c r="S421" s="26"/>
    </x:row>
    <x:row r="422" ht="72" customHeight="1">
      <x:c r="A422" s="2"/>
      <x:c r="B422" s="2"/>
      <x:c r="C422" s="26"/>
      <x:c r="D422" s="26"/>
      <x:c r="E422" s="41"/>
      <x:c r="F422" s="26"/>
      <x:c r="G422" s="26"/>
      <x:c r="H422" s="26"/>
      <x:c r="I422" s="26"/>
      <x:c r="J422" s="26"/>
      <x:c r="K422" s="26"/>
      <x:c r="L422" s="26"/>
      <x:c r="M422" s="26"/>
      <x:c r="N422" s="26"/>
      <x:c r="O422" s="26"/>
      <x:c r="P422" s="20"/>
      <x:c r="Q422" s="26"/>
      <x:c r="R422" s="26"/>
      <x:c r="S422" s="26"/>
    </x:row>
    <x:row r="423" ht="72" customHeight="1">
      <x:c r="A423" s="2"/>
      <x:c r="B423" s="2"/>
      <x:c r="C423" s="26"/>
      <x:c r="D423" s="26"/>
      <x:c r="E423" s="41"/>
      <x:c r="F423" s="26"/>
      <x:c r="G423" s="26"/>
      <x:c r="H423" s="26"/>
      <x:c r="I423" s="26"/>
      <x:c r="J423" s="26"/>
      <x:c r="K423" s="26"/>
      <x:c r="L423" s="26"/>
      <x:c r="M423" s="26"/>
      <x:c r="N423" s="26"/>
      <x:c r="O423" s="26"/>
      <x:c r="P423" s="20"/>
      <x:c r="Q423" s="26"/>
      <x:c r="R423" s="26"/>
      <x:c r="S423" s="26"/>
    </x:row>
    <x:row r="424" ht="72" customHeight="1">
      <x:c r="A424" s="2"/>
      <x:c r="B424" s="2"/>
      <x:c r="C424" s="26"/>
      <x:c r="D424" s="26"/>
      <x:c r="E424" s="41"/>
      <x:c r="F424" s="26"/>
      <x:c r="G424" s="26"/>
      <x:c r="H424" s="26"/>
      <x:c r="I424" s="26"/>
      <x:c r="J424" s="26"/>
      <x:c r="K424" s="26"/>
      <x:c r="L424" s="26"/>
      <x:c r="M424" s="26"/>
      <x:c r="N424" s="26"/>
      <x:c r="O424" s="26"/>
      <x:c r="P424" s="20"/>
      <x:c r="Q424" s="26"/>
      <x:c r="R424" s="26"/>
      <x:c r="S424" s="26"/>
    </x:row>
    <x:row r="425" ht="72" customHeight="1">
      <x:c r="A425" s="2"/>
      <x:c r="B425" s="2"/>
      <x:c r="C425" s="26"/>
      <x:c r="D425" s="26"/>
      <x:c r="E425" s="41"/>
      <x:c r="F425" s="26"/>
      <x:c r="G425" s="26"/>
      <x:c r="H425" s="26"/>
      <x:c r="I425" s="26"/>
      <x:c r="J425" s="26"/>
      <x:c r="K425" s="26"/>
      <x:c r="L425" s="26"/>
      <x:c r="M425" s="26"/>
      <x:c r="N425" s="26"/>
      <x:c r="O425" s="26"/>
      <x:c r="P425" s="20"/>
      <x:c r="Q425" s="26"/>
      <x:c r="R425" s="26"/>
      <x:c r="S425" s="26"/>
    </x:row>
    <x:row r="426" ht="72" customHeight="1">
      <x:c r="A426" s="2"/>
      <x:c r="B426" s="2"/>
      <x:c r="C426" s="26"/>
      <x:c r="D426" s="26"/>
      <x:c r="E426" s="41"/>
      <x:c r="F426" s="26"/>
      <x:c r="G426" s="26"/>
      <x:c r="H426" s="26"/>
      <x:c r="I426" s="26"/>
      <x:c r="J426" s="26"/>
      <x:c r="K426" s="26"/>
      <x:c r="L426" s="26"/>
      <x:c r="M426" s="26"/>
      <x:c r="N426" s="26"/>
      <x:c r="O426" s="26"/>
      <x:c r="P426" s="20"/>
      <x:c r="Q426" s="26"/>
      <x:c r="R426" s="26"/>
      <x:c r="S426" s="26"/>
    </x:row>
    <x:row r="427" ht="72" customHeight="1">
      <x:c r="A427" s="2"/>
      <x:c r="B427" s="2"/>
      <x:c r="C427" s="26"/>
      <x:c r="D427" s="26"/>
      <x:c r="E427" s="41"/>
      <x:c r="F427" s="26"/>
      <x:c r="G427" s="26"/>
      <x:c r="H427" s="26"/>
      <x:c r="I427" s="26"/>
      <x:c r="J427" s="26"/>
      <x:c r="K427" s="26"/>
      <x:c r="L427" s="26"/>
      <x:c r="M427" s="26"/>
      <x:c r="N427" s="26"/>
      <x:c r="O427" s="26"/>
      <x:c r="P427" s="20"/>
      <x:c r="Q427" s="26"/>
      <x:c r="R427" s="26"/>
      <x:c r="S427" s="26"/>
    </x:row>
    <x:row r="428" ht="72" customHeight="1">
      <x:c r="A428" s="2"/>
      <x:c r="B428" s="2"/>
      <x:c r="C428" s="26"/>
      <x:c r="D428" s="26"/>
      <x:c r="E428" s="41"/>
      <x:c r="F428" s="26"/>
      <x:c r="G428" s="26"/>
      <x:c r="H428" s="26"/>
      <x:c r="I428" s="26"/>
      <x:c r="J428" s="26"/>
      <x:c r="K428" s="26"/>
      <x:c r="L428" s="26"/>
      <x:c r="M428" s="26"/>
      <x:c r="N428" s="26"/>
      <x:c r="O428" s="26"/>
      <x:c r="P428" s="20"/>
      <x:c r="Q428" s="26"/>
      <x:c r="R428" s="26"/>
      <x:c r="S428" s="26"/>
    </x:row>
    <x:row r="429" ht="72" customHeight="1">
      <x:c r="A429" s="2"/>
      <x:c r="B429" s="2"/>
      <x:c r="C429" s="26"/>
      <x:c r="D429" s="26"/>
      <x:c r="E429" s="41"/>
      <x:c r="F429" s="26"/>
      <x:c r="G429" s="26"/>
      <x:c r="H429" s="26"/>
      <x:c r="I429" s="26"/>
      <x:c r="J429" s="26"/>
      <x:c r="K429" s="26"/>
      <x:c r="L429" s="26"/>
      <x:c r="M429" s="26"/>
      <x:c r="N429" s="26"/>
      <x:c r="O429" s="26"/>
      <x:c r="P429" s="20"/>
      <x:c r="Q429" s="26"/>
      <x:c r="R429" s="26"/>
      <x:c r="S429" s="26"/>
    </x:row>
    <x:row r="430" ht="72" customHeight="1">
      <x:c r="A430" s="2"/>
      <x:c r="B430" s="2"/>
      <x:c r="C430" s="26"/>
      <x:c r="D430" s="26"/>
      <x:c r="E430" s="41"/>
      <x:c r="F430" s="26"/>
      <x:c r="G430" s="26"/>
      <x:c r="H430" s="26"/>
      <x:c r="I430" s="26"/>
      <x:c r="J430" s="26"/>
      <x:c r="K430" s="26"/>
      <x:c r="L430" s="26"/>
      <x:c r="M430" s="26"/>
      <x:c r="N430" s="26"/>
      <x:c r="O430" s="26"/>
      <x:c r="P430" s="20"/>
      <x:c r="Q430" s="26"/>
      <x:c r="R430" s="26"/>
      <x:c r="S430" s="26"/>
    </x:row>
    <x:row r="431" ht="72" customHeight="1">
      <x:c r="A431" s="2"/>
      <x:c r="B431" s="2"/>
      <x:c r="C431" s="26"/>
      <x:c r="D431" s="26"/>
      <x:c r="E431" s="41"/>
      <x:c r="F431" s="26"/>
      <x:c r="G431" s="26"/>
      <x:c r="H431" s="26"/>
      <x:c r="I431" s="26"/>
      <x:c r="J431" s="26"/>
      <x:c r="K431" s="26"/>
      <x:c r="L431" s="26"/>
      <x:c r="M431" s="26"/>
      <x:c r="N431" s="26"/>
      <x:c r="O431" s="26"/>
      <x:c r="P431" s="20"/>
      <x:c r="Q431" s="26"/>
      <x:c r="R431" s="26"/>
      <x:c r="S431" s="26"/>
    </x:row>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O2:O414">
    <x:cfRule type="expression" dxfId="4" priority="1">
      <x:formula>$O2="Watched"</x:formula>
    </x:cfRule>
  </x:conditionalFormatting>
  <x:conditionalFormatting sqref="O2:O414">
    <x:cfRule type="expression" dxfId="5" priority="2">
      <x:formula>$O2="Unwatched"</x:formula>
    </x:cfRule>
  </x:conditionalFormatting>
  <x:dataValidations count="2">
    <x:dataValidation type="list" allowBlank="1" sqref="P2:P414">
      <x:formula1>"1,2,3,4,5"</x:formula1>
    </x:dataValidation>
    <x:dataValidation type="list" allowBlank="1" sqref="O2:O414">
      <x:formula1>"Watched,Unwatched,In Progress"</x:formula1>
    </x:dataValidation>
  </x:dataValidations>
  <x:pageMargins left="0.7" right="0.7" top="0.75" bottom="0.75" header="0.3" footer="0.3"/>
  <x:tableParts count="1">
    <x:tablePart xmlns:r="http://schemas.openxmlformats.org/officeDocument/2006/relationships" r:id="Re93d99ba84784ccb"/>
  </x:tableParts>
</x:worksheet>
</file>

<file path=xl/worksheets/sheet6.xml><?xml version="1.0" encoding="utf-8"?>
<x:worksheet xmlns:x="http://schemas.openxmlformats.org/spreadsheetml/2006/main">
  <x:sheetFormatPr defaultColWidth="12.630000114440918" defaultRowHeight="15"/>
  <x:cols>
    <x:col min="1" max="1" width="120" customWidth="1"/>
    <x:col min="2" max="26" width="8.630000114440918" customWidth="1"/>
  </x:cols>
  <x:sheetData>
    <x:row r="1">
      <x:c r="A1" s="42" t="s">
        <x:v>81</x:v>
      </x:c>
    </x:row>
    <x:row r="2" ht="42" customHeight="1">
      <x:c r="A2" s="31" t="s">
        <x:v>82</x:v>
      </x:c>
    </x:row>
    <x:row r="3" ht="42" customHeight="1">
      <x:c r="A3" s="31" t="s">
        <x:v>83</x:v>
      </x:c>
    </x:row>
    <x:row r="4" ht="42" customHeight="1">
      <x:c r="A4" s="31" t="s">
        <x:v>84</x:v>
      </x:c>
    </x:row>
    <x:row r="5" ht="42" customHeight="1">
      <x:c r="A5" s="31" t="s">
        <x:v>85</x:v>
      </x:c>
    </x:row>
    <x:row r="6" ht="42" customHeight="1">
      <x:c r="A6" s="31" t="s">
        <x:v>86</x:v>
      </x:c>
    </x:row>
    <x:row r="7" ht="42" customHeight="1">
      <x:c r="A7" s="31" t="s">
        <x:v>87</x:v>
      </x:c>
    </x:row>
    <x:row r="8" ht="42" customHeight="1">
      <x:c r="A8" s="31" t="s">
        <x:v>88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15" hidden="0" customWidth="1"/>
    <x:col min="2" max="26" width="8.630000114440918" customWidth="1"/>
  </x:cols>
  <x:sheetData>
    <x:row r="1">
      <x:c r="A1" s="36" t="str">
        <x:v>Office Script: TMDB Enrichment</x:v>
      </x:c>
    </x:row>
    <x:row r="2">
      <x:c r="A2" s="43" t="str">
        <x:v>/**</x:v>
      </x:c>
    </x:row>
    <x:row r="3">
      <x:c r="A3" s="43" t="str">
        <x:v> * TMDB Movie Library Enrichment</x:v>
      </x:c>
    </x:row>
    <x:row r="4">
      <x:c r="A4" s="43" t="str">
        <x:v> *</x:v>
      </x:c>
    </x:row>
    <x:row r="5">
      <x:c r="A5" s="43" t="str">
        <x:v> * How to use:</x:v>
      </x:c>
    </x:row>
    <x:row r="6">
      <x:c r="A6" s="43" t="str">
        <x:v> * 1. Paste your TMDB API key into Settings!B2.</x:v>
      </x:c>
    </x:row>
    <x:row r="7">
      <x:c r="A7" s="43" t="str">
        <x:v> * 2. In Excel for the web, open Automate &gt; New Script.</x:v>
      </x:c>
    </x:row>
    <x:row r="8">
      <x:c r="A8" s="43" t="str">
        <x:v> * 3. Paste this script and run it.</x:v>
      </x:c>
    </x:row>
    <x:row r="9">
      <x:c r="A9" s="43" t="str">
        <x:v> *</x:v>
      </x:c>
    </x:row>
    <x:row r="10">
      <x:c r="A10" s="43" t="str">
        <x:v> * This version writes cover image formulas with setFormulas(), so the</x:v>
      </x:c>
    </x:row>
    <x:row r="11">
      <x:c r="A11" s="43" t="str">
        <x:v> * IMAGE() cells recalculate/display correctly in Microsoft 365 Excel.</x:v>
      </x:c>
    </x:row>
    <x:row r="12">
      <x:c r="A12" s="43" t="str">
        <x:v> */</x:v>
      </x:c>
    </x:row>
    <x:row r="13">
      <x:c r="A13" s="43" t="str">
        <x:v>async function main(workbook: ExcelScript.Workbook) {</x:v>
      </x:c>
    </x:row>
    <x:row r="14">
      <x:c r="A14" s="43" t="str">
        <x:v>  const settings = workbook.getWorksheet("Settings");</x:v>
      </x:c>
    </x:row>
    <x:row r="15">
      <x:c r="A15" s="43" t="str">
        <x:v>  const apiKey = String(settings.getRange("B2").getValue() || "").trim();</x:v>
      </x:c>
    </x:row>
    <x:row r="16">
      <x:c r="A16" s="43" t="str">
        <x:v>  const posterBaseRaw = String(settings.getRange("B4").getValue() || "https://image.tmdb.org/t/p/w342").trim();</x:v>
      </x:c>
    </x:row>
    <x:row r="17">
      <x:c r="A17" s="43" t="str">
        <x:v>  const posterBase = posterBaseRaw.replace(/\/$/, "");</x:v>
      </x:c>
    </x:row>
    <x:row r="18">
      <x:c r="A18" s="43" t="str">
        <x:v>  const language = String(settings.getRange("B5").getValue() || "en-US").trim();</x:v>
      </x:c>
    </x:row>
    <x:row r="19">
      <x:c r="A19" s="43" t="str"/>
    </x:row>
    <x:row r="20">
      <x:c r="A20" s="43" t="str">
        <x:v>  if (!apiKey || apiKey === "PASTE_TMDB_API_KEY_HERE") {</x:v>
      </x:c>
    </x:row>
    <x:row r="21" ht="15.75" customHeight="1">
      <x:c r="A21" s="43" t="str">
        <x:v>    throw new Error("Paste your TMDB API key into Settings!B2 before running.");</x:v>
      </x:c>
    </x:row>
    <x:row r="22" ht="15.75" customHeight="1">
      <x:c r="A22" s="43" t="str">
        <x:v>  }</x:v>
      </x:c>
    </x:row>
    <x:row r="23" ht="15.75" customHeight="1">
      <x:c r="A23" s="43" t="str"/>
    </x:row>
    <x:row r="24" ht="15.75" customHeight="1">
      <x:c r="A24" s="43" t="str">
        <x:v>  const sourceSheet = workbook.getWorksheet("Movie Library");</x:v>
      </x:c>
    </x:row>
    <x:row r="25" ht="15.75" customHeight="1">
      <x:c r="A25" s="43" t="str">
        <x:v>  const staticSheet = workbook.getWorksheet("Static_Enriched");</x:v>
      </x:c>
    </x:row>
    <x:row r="26" ht="15.75" customHeight="1">
      <x:c r="A26" s="43" t="str">
        <x:v>  const used = sourceSheet.getUsedRange();</x:v>
      </x:c>
    </x:row>
    <x:row r="27" ht="15.75" customHeight="1">
      <x:c r="A27" s="43" t="str">
        <x:v>  const rowCount = used.getRowCount();</x:v>
      </x:c>
    </x:row>
    <x:row r="28" ht="15.75" customHeight="1">
      <x:c r="A28" s="43" t="str">
        <x:v>  const colCount = 19; // A:S</x:v>
      </x:c>
    </x:row>
    <x:row r="29" ht="15.75" customHeight="1">
      <x:c r="A29" s="43" t="str">
        <x:v>  const values = sourceSheet.getRangeByIndexes(0, 0, rowCount, colCount).getValues();</x:v>
      </x:c>
    </x:row>
    <x:row r="30" ht="15.75" customHeight="1">
      <x:c r="A30" s="43" t="str"/>
    </x:row>
    <x:row r="31" ht="15.75" customHeight="1">
      <x:c r="A31" s="43" t="str">
        <x:v>  const genreMap: {[id: number]: string} = {</x:v>
      </x:c>
    </x:row>
    <x:row r="32" ht="15.75" customHeight="1">
      <x:c r="A32" s="43" t="str">
        <x:v>    28:"Action",12:"Adventure",16:"Animation",35:"Comedy",80:"Crime",99:"Documentary",</x:v>
      </x:c>
    </x:row>
    <x:row r="33" ht="15.75" customHeight="1">
      <x:c r="A33" s="43" t="str">
        <x:v>    18:"Drama",10751:"Family",14:"Fantasy",36:"History",27:"Horror",10402:"Music",</x:v>
      </x:c>
    </x:row>
    <x:row r="34" ht="15.75" customHeight="1">
      <x:c r="A34" s="43" t="str">
        <x:v>    9648:"Mystery",10749:"Romance",878:"Science Fiction",10770:"TV Movie",53:"Thriller",</x:v>
      </x:c>
    </x:row>
    <x:row r="35" ht="15.75" customHeight="1">
      <x:c r="A35" s="43" t="str">
        <x:v>    10752:"War",37:"Western"</x:v>
      </x:c>
    </x:row>
    <x:row r="36" ht="15.75" customHeight="1">
      <x:c r="A36" s="43" t="str">
        <x:v>  };</x:v>
      </x:c>
    </x:row>
    <x:row r="37" ht="15.75" customHeight="1">
      <x:c r="A37" s="43" t="str"/>
    </x:row>
    <x:row r="38" ht="15.75" customHeight="1">
      <x:c r="A38" s="43" t="str">
        <x:v>  const enrichedRows: (string | number | boolean)[][] = [];</x:v>
      </x:c>
    </x:row>
    <x:row r="39" ht="15.75" customHeight="1">
      <x:c r="A39" s="43" t="str">
        <x:v>  const metadataPrefix: (string | number | boolean)[][] = []; // F:J</x:v>
      </x:c>
    </x:row>
    <x:row r="40" ht="15.75" customHeight="1">
      <x:c r="A40" s="43" t="str">
        <x:v>  const imageFormulas: string[][] = []; // K</x:v>
      </x:c>
    </x:row>
    <x:row r="41" ht="15.75" customHeight="1">
      <x:c r="A41" s="43" t="str">
        <x:v>  const metadataSuffix: (string | number | boolean)[][] = []; // L:N</x:v>
      </x:c>
    </x:row>
    <x:row r="42" ht="15.75" customHeight="1">
      <x:c r="A42" s="43" t="str">
        <x:v>  const sourceAndStatus: (string | number | boolean)[][] = []; // R:S</x:v>
      </x:c>
    </x:row>
    <x:row r="43" ht="15.75" customHeight="1">
      <x:c r="A43" s="43" t="str"/>
    </x:row>
    <x:row r="44" ht="15.75" customHeight="1">
      <x:c r="A44" s="43" t="str">
        <x:v>  for (let r = 1; r &lt; rowCount; r++) {</x:v>
      </x:c>
    </x:row>
    <x:row r="45" ht="15.75" customHeight="1">
      <x:c r="A45" s="43" t="str">
        <x:v>    const row = values[r];</x:v>
      </x:c>
    </x:row>
    <x:row r="46" ht="15.75" customHeight="1">
      <x:c r="A46" s="43" t="str">
        <x:v>    const title = String(row[1] || "").trim();</x:v>
      </x:c>
    </x:row>
    <x:row r="47" ht="15.75" customHeight="1">
      <x:c r="A47" s="43" t="str">
        <x:v>    const year = String(row[2] || "").trim();</x:v>
      </x:c>
    </x:row>
    <x:row r="48" ht="15.75" customHeight="1">
      <x:c r="A48" s="43" t="str"/>
    </x:row>
    <x:row r="49" ht="15.75" customHeight="1">
      <x:c r="A49" s="43" t="str">
        <x:v>    let matchStatus = "No TMDB match / check title-year";</x:v>
      </x:c>
    </x:row>
    <x:row r="50" ht="15.75" customHeight="1">
      <x:c r="A50" s="43" t="str">
        <x:v>    let tmdbId: string | number = "";</x:v>
      </x:c>
    </x:row>
    <x:row r="51" ht="15.75" customHeight="1">
      <x:c r="A51" s="43" t="str">
        <x:v>    let tmdbRating: string | number = "";</x:v>
      </x:c>
    </x:row>
    <x:row r="52" ht="15.75" customHeight="1">
      <x:c r="A52" s="43" t="str">
        <x:v>    let genre = "";</x:v>
      </x:c>
    </x:row>
    <x:row r="53" ht="15.75" customHeight="1">
      <x:c r="A53" s="43" t="str">
        <x:v>    let posterPath = "";</x:v>
      </x:c>
    </x:row>
    <x:row r="54" ht="15.75" customHeight="1">
      <x:c r="A54" s="43" t="str">
        <x:v>    let coverUrl = "";</x:v>
      </x:c>
    </x:row>
    <x:row r="55" ht="15.75" customHeight="1">
      <x:c r="A55" s="43" t="str">
        <x:v>    let runtime: string | number = "";</x:v>
      </x:c>
    </x:row>
    <x:row r="56" ht="15.75" customHeight="1">
      <x:c r="A56" s="43" t="str">
        <x:v>    let overview = "";</x:v>
      </x:c>
    </x:row>
    <x:row r="57" ht="15.75" customHeight="1">
      <x:c r="A57" s="43" t="str">
        <x:v>    let releaseDate = "";</x:v>
      </x:c>
    </x:row>
    <x:row r="58" ht="15.75" customHeight="1">
      <x:c r="A58" s="43" t="str">
        <x:v>    let sourceUrl = "";</x:v>
      </x:c>
    </x:row>
    <x:row r="59" ht="15.75" customHeight="1">
      <x:c r="A59" s="43" t="str"/>
    </x:row>
    <x:row r="60" ht="15.75" customHeight="1">
      <x:c r="A60" s="43" t="str">
        <x:v>    if (title) {</x:v>
      </x:c>
    </x:row>
    <x:row r="61" ht="15.75" customHeight="1">
      <x:c r="A61" s="43" t="str">
        <x:v>      try {</x:v>
      </x:c>
    </x:row>
    <x:row r="62" ht="15.75" customHeight="1">
      <x:c r="A62" s="43" t="str">
        <x:v>        const searchUrl =</x:v>
      </x:c>
    </x:row>
    <x:row r="63" ht="15.75" customHeight="1">
      <x:c r="A63" s="43" t="str">
        <x:v>          `https://api.themoviedb.org/3/search/movie?api_key=${encodeURIComponent(apiKey)}` +</x:v>
      </x:c>
    </x:row>
    <x:row r="64" ht="15.75" customHeight="1">
      <x:c r="A64" s="43" t="str">
        <x:v>          `&amp;language=${encodeURIComponent(language)}&amp;query=${encodeURIComponent(title)}` +</x:v>
      </x:c>
    </x:row>
    <x:row r="65" ht="15.75" customHeight="1">
      <x:c r="A65" s="43" t="str">
        <x:v>          (year ? `&amp;year=${encodeURIComponent(year)}` : "");</x:v>
      </x:c>
    </x:row>
    <x:row r="66" ht="15.75" customHeight="1">
      <x:c r="A66" s="43" t="str"/>
    </x:row>
    <x:row r="67" ht="15.75" customHeight="1">
      <x:c r="A67" s="43" t="str">
        <x:v>        const searchResp = await fetch(searchUrl);</x:v>
      </x:c>
    </x:row>
    <x:row r="68" ht="15.75" customHeight="1">
      <x:c r="A68" s="43" t="str">
        <x:v>        const searchJson = await searchResp.json();</x:v>
      </x:c>
    </x:row>
    <x:row r="69" ht="15.75" customHeight="1">
      <x:c r="A69" s="43" t="str">
        <x:v>        const result = searchJson.results &amp;&amp; searchJson.results.length ? searchJson.results[0] : null;</x:v>
      </x:c>
    </x:row>
    <x:row r="70" ht="15.75" customHeight="1">
      <x:c r="A70" s="43" t="str"/>
    </x:row>
    <x:row r="71" ht="15.75" customHeight="1">
      <x:c r="A71" s="43" t="str">
        <x:v>        if (result) {</x:v>
      </x:c>
    </x:row>
    <x:row r="72" ht="15.75" customHeight="1">
      <x:c r="A72" s="43" t="str">
        <x:v>          tmdbId = result.id || "";</x:v>
      </x:c>
    </x:row>
    <x:row r="73" ht="15.75" customHeight="1">
      <x:c r="A73" s="43" t="str">
        <x:v>          tmdbRating = result.vote_average || "";</x:v>
      </x:c>
    </x:row>
    <x:row r="74" ht="15.75" customHeight="1">
      <x:c r="A74" s="43" t="str">
        <x:v>          genre = (result.genre_ids || []).map((id: number) =&gt; genreMap[id]).filter(Boolean).join(", ");</x:v>
      </x:c>
    </x:row>
    <x:row r="75" ht="15.75" customHeight="1">
      <x:c r="A75" s="43" t="str">
        <x:v>          posterPath = result.poster_path || "";</x:v>
      </x:c>
    </x:row>
    <x:row r="76" ht="15.75" customHeight="1">
      <x:c r="A76" s="43" t="str">
        <x:v>          coverUrl = posterPath ? `${posterBase}${posterPath}` : "";</x:v>
      </x:c>
    </x:row>
    <x:row r="77" ht="15.75" customHeight="1">
      <x:c r="A77" s="43" t="str">
        <x:v>          overview = result.overview || "";</x:v>
      </x:c>
    </x:row>
    <x:row r="78" ht="15.75" customHeight="1">
      <x:c r="A78" s="43" t="str">
        <x:v>          releaseDate = result.release_date || "";</x:v>
      </x:c>
    </x:row>
    <x:row r="79" ht="15.75" customHeight="1">
      <x:c r="A79" s="43" t="str">
        <x:v>          sourceUrl = tmdbId ? `https://www.themoviedb.org/movie/${tmdbId}` : "";</x:v>
      </x:c>
    </x:row>
    <x:row r="80" ht="15.75" customHeight="1">
      <x:c r="A80" s="43" t="str">
        <x:v>          matchStatus = "Matched";</x:v>
      </x:c>
    </x:row>
    <x:row r="81" ht="15.75" customHeight="1">
      <x:c r="A81" s="43" t="str"/>
    </x:row>
    <x:row r="82" ht="15.75" customHeight="1">
      <x:c r="A82" s="43" t="str">
        <x:v>          if (tmdbId) {</x:v>
      </x:c>
    </x:row>
    <x:row r="83" ht="15.75" customHeight="1">
      <x:c r="A83" s="43" t="str">
        <x:v>            const detailsUrl = `https://api.themoviedb.org/3/movie/${tmdbId}?api_key=${encodeURIComponent(apiKey)}&amp;language=${encodeURIComponent(language)}`;</x:v>
      </x:c>
    </x:row>
    <x:row r="84" ht="15.75" customHeight="1">
      <x:c r="A84" s="43" t="str">
        <x:v>            const detailResp = await fetch(detailsUrl);</x:v>
      </x:c>
    </x:row>
    <x:row r="85" ht="15.75" customHeight="1">
      <x:c r="A85" s="43" t="str">
        <x:v>            const detailJson = await detailResp.json();</x:v>
      </x:c>
    </x:row>
    <x:row r="86" ht="15.75" customHeight="1">
      <x:c r="A86" s="43" t="str">
        <x:v>            runtime = detailJson.runtime || "";</x:v>
      </x:c>
    </x:row>
    <x:row r="87" ht="15.75" customHeight="1">
      <x:c r="A87" s="43" t="str">
        <x:v>          }</x:v>
      </x:c>
    </x:row>
    <x:row r="88" ht="15.75" customHeight="1">
      <x:c r="A88" s="43" t="str">
        <x:v>        }</x:v>
      </x:c>
    </x:row>
    <x:row r="89" ht="15.75" customHeight="1">
      <x:c r="A89" s="43" t="str">
        <x:v>      } catch (e) {</x:v>
      </x:c>
    </x:row>
    <x:row r="90" ht="15.75" customHeight="1">
      <x:c r="A90" s="43" t="str">
        <x:v>        matchStatus = "API error / check key or connection";</x:v>
      </x:c>
    </x:row>
    <x:row r="91" ht="15.75" customHeight="1">
      <x:c r="A91" s="43" t="str">
        <x:v>      }</x:v>
      </x:c>
    </x:row>
    <x:row r="92" ht="15.75" customHeight="1">
      <x:c r="A92" s="43" t="str">
        <x:v>    }</x:v>
      </x:c>
    </x:row>
    <x:row r="93" ht="15.75" customHeight="1">
      <x:c r="A93" s="43" t="str"/>
    </x:row>
    <x:row r="94" ht="15.75" customHeight="1">
      <x:c r="A94" s="43" t="str">
        <x:v>    const escapedTitle = title.replace(/"/g, "\"\"");</x:v>
      </x:c>
    </x:row>
    <x:row r="95" ht="15.75" customHeight="1">
      <x:c r="A95" s="43" t="str">
        <x:v>    const imageFormula = coverUrl ? `=IMAGE("${coverUrl}","${escapedTitle}",0)` : "";</x:v>
      </x:c>
    </x:row>
    <x:row r="96" ht="15.75" customHeight="1">
      <x:c r="A96" s="43" t="str">
        <x:v>    metadataPrefix.push([tmdbId, tmdbRating, genre, posterPath, coverUrl]);</x:v>
      </x:c>
    </x:row>
    <x:row r="97" ht="15.75" customHeight="1">
      <x:c r="A97" s="43" t="str">
        <x:v>    imageFormulas.push([imageFormula]);</x:v>
      </x:c>
    </x:row>
    <x:row r="98" ht="15.75" customHeight="1">
      <x:c r="A98" s="43" t="str">
        <x:v>    metadataSuffix.push([runtime, overview, releaseDate]);</x:v>
      </x:c>
    </x:row>
    <x:row r="99" ht="15.75" customHeight="1">
      <x:c r="A99" s="43" t="str">
        <x:v>    sourceAndStatus.push([sourceUrl, matchStatus]);</x:v>
      </x:c>
    </x:row>
    <x:row r="100" ht="15.75" customHeight="1">
      <x:c r="A100" s="43" t="str"/>
    </x:row>
    <x:row r="101" ht="15.75" customHeight="1">
      <x:c r="A101" s="43" t="str">
        <x:v>    const newRow = [...row] as (string | number | boolean)[];</x:v>
      </x:c>
    </x:row>
    <x:row r="102" ht="15.75" customHeight="1">
      <x:c r="A102" s="43" t="str">
        <x:v>    newRow[4] = "";</x:v>
      </x:c>
    </x:row>
    <x:row r="103" ht="15.75" customHeight="1">
      <x:c r="A103" s="43" t="str">
        <x:v>    newRow[5] = tmdbId;</x:v>
      </x:c>
    </x:row>
    <x:row r="104" ht="15.75" customHeight="1">
      <x:c r="A104" s="43" t="str">
        <x:v>    newRow[6] = tmdbRating;</x:v>
      </x:c>
    </x:row>
    <x:row r="105" ht="15.75" customHeight="1">
      <x:c r="A105" s="43" t="str">
        <x:v>    newRow[7] = genre;</x:v>
      </x:c>
    </x:row>
    <x:row r="106" ht="15.75" customHeight="1">
      <x:c r="A106" s="43" t="str">
        <x:v>    newRow[8] = posterPath;</x:v>
      </x:c>
    </x:row>
    <x:row r="107" ht="15.75" customHeight="1">
      <x:c r="A107" s="43" t="str">
        <x:v>    newRow[9] = coverUrl;</x:v>
      </x:c>
    </x:row>
    <x:row r="108" ht="15.75" customHeight="1">
      <x:c r="A108" s="43" t="str">
        <x:v>    newRow[10] = imageFormula;</x:v>
      </x:c>
    </x:row>
    <x:row r="109" ht="15.75" customHeight="1">
      <x:c r="A109" s="43" t="str">
        <x:v>    newRow[11] = runtime;</x:v>
      </x:c>
    </x:row>
    <x:row r="110" ht="15.75" customHeight="1">
      <x:c r="A110" s="43" t="str">
        <x:v>    newRow[12] = overview;</x:v>
      </x:c>
    </x:row>
    <x:row r="111" ht="15.75" customHeight="1">
      <x:c r="A111" s="43" t="str">
        <x:v>    newRow[13] = releaseDate;</x:v>
      </x:c>
    </x:row>
    <x:row r="112" ht="15.75" customHeight="1">
      <x:c r="A112" s="43" t="str">
        <x:v>    newRow[17] = sourceUrl;</x:v>
      </x:c>
    </x:row>
    <x:row r="113" ht="15.75" customHeight="1">
      <x:c r="A113" s="43" t="str">
        <x:v>    newRow[18] = matchStatus;</x:v>
      </x:c>
    </x:row>
    <x:row r="114" ht="15.75" customHeight="1">
      <x:c r="A114" s="43" t="str">
        <x:v>    enrichedRows.push(newRow);</x:v>
      </x:c>
    </x:row>
    <x:row r="115" ht="15.75" customHeight="1">
      <x:c r="A115" s="43" t="str">
        <x:v>  }</x:v>
      </x:c>
    </x:row>
    <x:row r="116" ht="15.75" customHeight="1">
      <x:c r="A116" s="43" t="str"/>
    </x:row>
    <x:row r="117" ht="15.75" customHeight="1">
      <x:c r="A117" s="43" t="str">
        <x:v>  staticSheet.getRangeByIndexes(0, 0, rowCount, colCount).setValues(values);</x:v>
      </x:c>
    </x:row>
    <x:row r="118" ht="15.75" customHeight="1">
      <x:c r="A118" s="43" t="str">
        <x:v>  staticSheet.getRangeByIndexes(1, 0, enrichedRows.length, colCount).setValues(enrichedRows);</x:v>
      </x:c>
    </x:row>
    <x:row r="119" ht="15.75" customHeight="1">
      <x:c r="A119" s="43" t="str">
        <x:v>  staticSheet.getRangeByIndexes(1, 10, imageFormulas.length, 1).setFormulas(imageFormulas);</x:v>
      </x:c>
    </x:row>
    <x:row r="120" ht="15.75" customHeight="1">
      <x:c r="A120" s="43" t="str"/>
    </x:row>
    <x:row r="121" ht="15.75" customHeight="1">
      <x:c r="A121" s="43" t="str">
        <x:v>  sourceSheet.getRangeByIndexes(1, 5, metadataPrefix.length, 5).setValues(metadataPrefix);</x:v>
      </x:c>
    </x:row>
    <x:row r="122" ht="15.75" customHeight="1">
      <x:c r="A122" s="43" t="str">
        <x:v>  sourceSheet.getRangeByIndexes(1, 10, imageFormulas.length, 1).setFormulas(imageFormulas);</x:v>
      </x:c>
    </x:row>
    <x:row r="123" ht="15.75" customHeight="1">
      <x:c r="A123" s="43" t="str">
        <x:v>  sourceSheet.getRangeByIndexes(1, 11, metadataSuffix.length, 3).setValues(metadataSuffix);</x:v>
      </x:c>
    </x:row>
    <x:row r="124" ht="15.75" customHeight="1">
      <x:c r="A124" s="43" t="str">
        <x:v>  sourceSheet.getRangeByIndexes(1, 17, sourceAndStatus.length, 2).setValues(sourceAndStatus);</x:v>
      </x:c>
    </x:row>
    <x:row r="125" ht="15.75" customHeight="1">
      <x:c r="A125" s="43" t="str"/>
    </x:row>
    <x:row r="126" ht="15.75" customHeight="1">
      <x:c r="A126" s="43" t="str">
        <x:v>  sourceSheet.getRangeByIndexes(1, 10, rowCount - 1, 1).getFormat().setRowHeight(90);</x:v>
      </x:c>
    </x:row>
    <x:row r="127" ht="15.75" customHeight="1">
      <x:c r="A127" s="43" t="str">
        <x:v>  staticSheet.getRangeByIndexes(1, 10, rowCount - 1, 1).getFormat().setRowHeight(90);</x:v>
      </x:c>
    </x:row>
    <x:row r="128" ht="15.75" customHeight="1">
      <x:c r="A128" s="43" t="str">
        <x:v>}</x:v>
      </x:c>
    </x:row>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